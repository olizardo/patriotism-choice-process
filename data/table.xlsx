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8960" windowHeight="11880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Q11" i="2"/>
  <c r="Q10"/>
  <c r="Q9"/>
  <c r="Q8"/>
  <c r="Q7"/>
  <c r="Q6"/>
  <c r="Q5"/>
  <c r="Q4"/>
  <c r="Q3"/>
  <c r="Q2"/>
  <c r="D29" i="1"/>
  <c r="D30"/>
  <c r="D31"/>
  <c r="D32"/>
  <c r="D33"/>
  <c r="D34"/>
  <c r="D35"/>
  <c r="D36"/>
  <c r="D28"/>
  <c r="D27"/>
  <c r="D19"/>
  <c r="E2" i="3"/>
  <c r="C7"/>
  <c r="F2" s="1"/>
  <c r="C3"/>
  <c r="D20" i="1"/>
  <c r="D21"/>
  <c r="D22"/>
  <c r="D23"/>
  <c r="K37"/>
  <c r="H28"/>
  <c r="I28"/>
  <c r="J28"/>
  <c r="K28"/>
  <c r="H29"/>
  <c r="I29"/>
  <c r="J29"/>
  <c r="K29"/>
  <c r="H30"/>
  <c r="I30"/>
  <c r="J30"/>
  <c r="K30"/>
  <c r="H31"/>
  <c r="I31"/>
  <c r="J31"/>
  <c r="K31"/>
  <c r="H32"/>
  <c r="I32"/>
  <c r="J32"/>
  <c r="K32"/>
  <c r="H33"/>
  <c r="I33"/>
  <c r="J33"/>
  <c r="K33"/>
  <c r="H34"/>
  <c r="I34"/>
  <c r="J34"/>
  <c r="K34"/>
  <c r="H35"/>
  <c r="I35"/>
  <c r="J35"/>
  <c r="K35"/>
  <c r="H36"/>
  <c r="I36"/>
  <c r="J36"/>
  <c r="K36"/>
  <c r="H37"/>
  <c r="I37"/>
  <c r="J37"/>
  <c r="G29"/>
  <c r="G30"/>
  <c r="G31"/>
  <c r="G32"/>
  <c r="G33"/>
  <c r="G34"/>
  <c r="G35"/>
  <c r="G36"/>
  <c r="G37"/>
  <c r="G28"/>
  <c r="G2" i="3" l="1"/>
  <c r="H2" s="1"/>
</calcChain>
</file>

<file path=xl/sharedStrings.xml><?xml version="1.0" encoding="utf-8"?>
<sst xmlns="http://schemas.openxmlformats.org/spreadsheetml/2006/main" count="287" uniqueCount="183">
  <si>
    <t>How proud are you of America in each of the following?</t>
  </si>
  <si>
    <t>The way democracy works</t>
  </si>
  <si>
    <t>Its political influence in the world</t>
  </si>
  <si>
    <t>America's economic achievements</t>
  </si>
  <si>
    <t>Its social security system</t>
  </si>
  <si>
    <t>Its scientific and technological achievements</t>
  </si>
  <si>
    <t>Its achievements in sports</t>
  </si>
  <si>
    <t>Its achievements in the arts and literature</t>
  </si>
  <si>
    <t>America's armed forces</t>
  </si>
  <si>
    <t>Its history</t>
  </si>
  <si>
    <t>Its fair and equal treatment of all groups in society</t>
  </si>
  <si>
    <t>DEGREE</t>
  </si>
  <si>
    <t>Less Than H.S.</t>
  </si>
  <si>
    <t>High School</t>
  </si>
  <si>
    <t>Junior College</t>
  </si>
  <si>
    <t xml:space="preserve">College </t>
  </si>
  <si>
    <t>Graduate</t>
  </si>
  <si>
    <t>X-squared</t>
  </si>
  <si>
    <t>p-value</t>
  </si>
  <si>
    <t>2004-1996</t>
  </si>
  <si>
    <t>Less than High School</t>
  </si>
  <si>
    <t>Graduate Degree</t>
  </si>
  <si>
    <t>Bachelor's Degree</t>
  </si>
  <si>
    <t>0-6 years</t>
  </si>
  <si>
    <t>7-11 years</t>
  </si>
  <si>
    <t>12 years</t>
  </si>
  <si>
    <t>13-15 years</t>
  </si>
  <si>
    <t>16 years</t>
  </si>
  <si>
    <t>17/19 years</t>
  </si>
  <si>
    <t>20+ years</t>
  </si>
  <si>
    <t>Education</t>
  </si>
  <si>
    <t xml:space="preserve"> </t>
  </si>
  <si>
    <t>Pride</t>
  </si>
  <si>
    <t>Cohort</t>
  </si>
  <si>
    <t>cohort</t>
  </si>
  <si>
    <t>_cons</t>
  </si>
  <si>
    <t>yearsurv</t>
  </si>
  <si>
    <t>a</t>
  </si>
  <si>
    <t>b</t>
  </si>
  <si>
    <t>a+b</t>
  </si>
  <si>
    <t>(a+b)/obs</t>
  </si>
  <si>
    <t>Linear Within Cohort Change</t>
  </si>
  <si>
    <t>Cohort Replacement Effect</t>
  </si>
  <si>
    <t>Predicted Change/Observed Change</t>
  </si>
  <si>
    <t>Observed Change in U.S. Pride 1996-2004</t>
  </si>
  <si>
    <t>N</t>
  </si>
  <si>
    <t>Constant</t>
  </si>
  <si>
    <t>1309</t>
  </si>
  <si>
    <t xml:space="preserve">1212   </t>
  </si>
  <si>
    <t>1996</t>
  </si>
  <si>
    <t>2004</t>
  </si>
  <si>
    <t>2521</t>
  </si>
  <si>
    <t>Period</t>
  </si>
  <si>
    <t>Education x Period</t>
  </si>
  <si>
    <t>-0.0508</t>
  </si>
  <si>
    <t xml:space="preserve">0.139*  </t>
  </si>
  <si>
    <t>(-0.90)</t>
  </si>
  <si>
    <t xml:space="preserve">(2.36)   </t>
  </si>
  <si>
    <t>-0.0452***</t>
  </si>
  <si>
    <t>-0.0278***</t>
  </si>
  <si>
    <t>(-9.97)</t>
  </si>
  <si>
    <t xml:space="preserve">(-5.89)   </t>
  </si>
  <si>
    <t>91.60***</t>
  </si>
  <si>
    <t>58.04***</t>
  </si>
  <si>
    <t>(10.37)</t>
  </si>
  <si>
    <t xml:space="preserve">(6.26)   </t>
  </si>
  <si>
    <t>exp(b)</t>
  </si>
  <si>
    <t>-0.0300</t>
  </si>
  <si>
    <t>-0.0572***</t>
  </si>
  <si>
    <t>(-1.15)</t>
  </si>
  <si>
    <t xml:space="preserve">(-9.06)   </t>
  </si>
  <si>
    <t>1.155***</t>
  </si>
  <si>
    <t>0.149***</t>
  </si>
  <si>
    <t>(10.55)</t>
  </si>
  <si>
    <t xml:space="preserve">(5.53)   </t>
  </si>
  <si>
    <t>0.102**</t>
  </si>
  <si>
    <t xml:space="preserve">0.00609   </t>
  </si>
  <si>
    <t>-0.0370***</t>
  </si>
  <si>
    <t>-0.00844***</t>
  </si>
  <si>
    <t>(-11.28)</t>
  </si>
  <si>
    <t xml:space="preserve">(-10.51)   </t>
  </si>
  <si>
    <t>75.41***</t>
  </si>
  <si>
    <t>20.16***</t>
  </si>
  <si>
    <t>(2.70)</t>
  </si>
  <si>
    <t xml:space="preserve">(0.65)   </t>
  </si>
  <si>
    <t>(11.77)</t>
  </si>
  <si>
    <t xml:space="preserve">(12.86)   </t>
  </si>
  <si>
    <t xml:space="preserve">2561 </t>
  </si>
  <si>
    <t>routine nonmanual</t>
  </si>
  <si>
    <t xml:space="preserve">Lower Grade Professionals </t>
  </si>
  <si>
    <t xml:space="preserve">Higher Grade Professionals </t>
  </si>
  <si>
    <t>Self Employed (with Employees)</t>
  </si>
  <si>
    <t xml:space="preserve">Self Employed </t>
  </si>
  <si>
    <t>Manual Supervisor</t>
  </si>
  <si>
    <t>Skilled Manual</t>
  </si>
  <si>
    <t>Semi-Unskilled Manual</t>
  </si>
  <si>
    <t>Farm Labor</t>
  </si>
  <si>
    <t>Self-Employed Farm</t>
  </si>
  <si>
    <t>Fraternal</t>
  </si>
  <si>
    <t>Service</t>
  </si>
  <si>
    <t>Veteran</t>
  </si>
  <si>
    <t>Political Club</t>
  </si>
  <si>
    <t>Labor Union</t>
  </si>
  <si>
    <t>Sports Club</t>
  </si>
  <si>
    <t>Youth Group</t>
  </si>
  <si>
    <t>School Service</t>
  </si>
  <si>
    <t>Hobby Club</t>
  </si>
  <si>
    <t>School Fraternity</t>
  </si>
  <si>
    <t>Nationality Group</t>
  </si>
  <si>
    <t>Farm Organization</t>
  </si>
  <si>
    <t>Literary or Art</t>
  </si>
  <si>
    <t>Professional Society</t>
  </si>
  <si>
    <t>Church</t>
  </si>
  <si>
    <t>0.0565*</t>
  </si>
  <si>
    <t xml:space="preserve">0.0252   </t>
  </si>
  <si>
    <t>(2.08)</t>
  </si>
  <si>
    <t xml:space="preserve">(0.88)   </t>
  </si>
  <si>
    <t>-0.802***</t>
  </si>
  <si>
    <t>-0.780***</t>
  </si>
  <si>
    <t>(-5.34)</t>
  </si>
  <si>
    <t xml:space="preserve">(-5.21)   </t>
  </si>
  <si>
    <t>-1.357***</t>
  </si>
  <si>
    <t>-1.373***</t>
  </si>
  <si>
    <t>(-5.88)</t>
  </si>
  <si>
    <t xml:space="preserve">(-5.97)   </t>
  </si>
  <si>
    <t>-0.153</t>
  </si>
  <si>
    <t xml:space="preserve">-0.0947   </t>
  </si>
  <si>
    <t>(-0.54)</t>
  </si>
  <si>
    <t xml:space="preserve">(-0.33)   </t>
  </si>
  <si>
    <t>0.390*</t>
  </si>
  <si>
    <t xml:space="preserve">0.390*  </t>
  </si>
  <si>
    <t>(2.33)</t>
  </si>
  <si>
    <t xml:space="preserve">(2.35)   </t>
  </si>
  <si>
    <t xml:space="preserve">0.449*  </t>
  </si>
  <si>
    <t xml:space="preserve">(2.54)   </t>
  </si>
  <si>
    <t>0.695***</t>
  </si>
  <si>
    <t xml:space="preserve">(3.46)   </t>
  </si>
  <si>
    <t>1212</t>
  </si>
  <si>
    <t xml:space="preserve">1212  </t>
  </si>
  <si>
    <t>Gender (Women=1)</t>
  </si>
  <si>
    <t>Race (Black=1)</t>
  </si>
  <si>
    <t>Race (Other=1)</t>
  </si>
  <si>
    <t>Region (South=1)</t>
  </si>
  <si>
    <t>N. of Memberships (1-2)</t>
  </si>
  <si>
    <t>Number of Memberships (3+)</t>
  </si>
  <si>
    <t>-0.0253***</t>
  </si>
  <si>
    <t>-0.0238***</t>
  </si>
  <si>
    <t>(-5.41)</t>
  </si>
  <si>
    <t xml:space="preserve">(-5.09)   </t>
  </si>
  <si>
    <t>53.37***</t>
  </si>
  <si>
    <t>50.49***</t>
  </si>
  <si>
    <t>(5.83)</t>
  </si>
  <si>
    <t xml:space="preserve">(5.52)   </t>
  </si>
  <si>
    <t>Mean U.S. Pride Score</t>
  </si>
  <si>
    <t>0.00230</t>
  </si>
  <si>
    <t xml:space="preserve">0.0102** </t>
  </si>
  <si>
    <t>(0.58)</t>
  </si>
  <si>
    <t xml:space="preserve">(2.59)   </t>
  </si>
  <si>
    <t>-0.0473***</t>
  </si>
  <si>
    <t>-0.0268***</t>
  </si>
  <si>
    <t>(-10.13)</t>
  </si>
  <si>
    <t xml:space="preserve">(-5.43)   </t>
  </si>
  <si>
    <t>95.40***</t>
  </si>
  <si>
    <t>56.11***</t>
  </si>
  <si>
    <t>(10.45)</t>
  </si>
  <si>
    <t xml:space="preserve">(5.78)   </t>
  </si>
  <si>
    <t>1255</t>
  </si>
  <si>
    <t xml:space="preserve">1152   </t>
  </si>
  <si>
    <t>Nako-Treas SEI Score</t>
  </si>
  <si>
    <t>1.284***</t>
  </si>
  <si>
    <t>1.199***</t>
  </si>
  <si>
    <t>(12.12)</t>
  </si>
  <si>
    <t xml:space="preserve">(11.27)   </t>
  </si>
  <si>
    <t>-0.0324***</t>
  </si>
  <si>
    <t>-0.0176***</t>
  </si>
  <si>
    <t>(-7.33)</t>
  </si>
  <si>
    <t xml:space="preserve">(-3.82)   </t>
  </si>
  <si>
    <t>61.66***</t>
  </si>
  <si>
    <t>33.98***</t>
  </si>
  <si>
    <t>(7.07)</t>
  </si>
  <si>
    <t xml:space="preserve">(3.73)   </t>
  </si>
  <si>
    <t>1302</t>
  </si>
  <si>
    <t>Nationalism Scale Score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</si>
</sst>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" fontId="0" fillId="0" borderId="0" xfId="0" applyNumberFormat="1"/>
    <xf numFmtId="0" fontId="0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4" fontId="0" fillId="0" borderId="0" xfId="0" applyNumberFormat="1" applyFont="1"/>
    <xf numFmtId="2" fontId="0" fillId="0" borderId="0" xfId="0" applyNumberFormat="1" applyFont="1"/>
    <xf numFmtId="2" fontId="0" fillId="0" borderId="0" xfId="0" applyNumberFormat="1" applyFont="1" applyAlignmen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Mean U.S. Pride Scale</a:t>
            </a:r>
            <a:r>
              <a:rPr lang="en-US" baseline="0"/>
              <a:t> Score</a:t>
            </a:r>
          </a:p>
          <a:p>
            <a:pPr>
              <a:defRPr/>
            </a:pPr>
            <a:r>
              <a:rPr lang="en-US" baseline="0"/>
              <a:t>By  Education and Year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1996</c:v>
                </c:pt>
              </c:strCache>
            </c:strRef>
          </c:tx>
          <c:dLbls>
            <c:showVal val="1"/>
          </c:dLbls>
          <c:cat>
            <c:strRef>
              <c:f>Sheet2!$A$4:$A$10</c:f>
              <c:strCache>
                <c:ptCount val="7"/>
                <c:pt idx="0">
                  <c:v>0-6 years</c:v>
                </c:pt>
                <c:pt idx="1">
                  <c:v>7-11 years</c:v>
                </c:pt>
                <c:pt idx="2">
                  <c:v>12 years</c:v>
                </c:pt>
                <c:pt idx="3">
                  <c:v>13-15 years</c:v>
                </c:pt>
                <c:pt idx="4">
                  <c:v>16 years</c:v>
                </c:pt>
                <c:pt idx="5">
                  <c:v>17/19 years</c:v>
                </c:pt>
                <c:pt idx="6">
                  <c:v>20+ years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3.79</c:v>
                </c:pt>
                <c:pt idx="1">
                  <c:v>3.62</c:v>
                </c:pt>
                <c:pt idx="2">
                  <c:v>3.09</c:v>
                </c:pt>
                <c:pt idx="3">
                  <c:v>3</c:v>
                </c:pt>
                <c:pt idx="4">
                  <c:v>3.23</c:v>
                </c:pt>
                <c:pt idx="5">
                  <c:v>3.02</c:v>
                </c:pt>
                <c:pt idx="6">
                  <c:v>2.56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2004</c:v>
                </c:pt>
              </c:strCache>
            </c:strRef>
          </c:tx>
          <c:dLbls>
            <c:showVal val="1"/>
          </c:dLbls>
          <c:cat>
            <c:strRef>
              <c:f>Sheet2!$A$4:$A$10</c:f>
              <c:strCache>
                <c:ptCount val="7"/>
                <c:pt idx="0">
                  <c:v>0-6 years</c:v>
                </c:pt>
                <c:pt idx="1">
                  <c:v>7-11 years</c:v>
                </c:pt>
                <c:pt idx="2">
                  <c:v>12 years</c:v>
                </c:pt>
                <c:pt idx="3">
                  <c:v>13-15 years</c:v>
                </c:pt>
                <c:pt idx="4">
                  <c:v>16 years</c:v>
                </c:pt>
                <c:pt idx="5">
                  <c:v>17/19 years</c:v>
                </c:pt>
                <c:pt idx="6">
                  <c:v>20+ years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7"/>
                <c:pt idx="0">
                  <c:v>3.35</c:v>
                </c:pt>
                <c:pt idx="1">
                  <c:v>3.61</c:v>
                </c:pt>
                <c:pt idx="2">
                  <c:v>3.97</c:v>
                </c:pt>
                <c:pt idx="3">
                  <c:v>4.03</c:v>
                </c:pt>
                <c:pt idx="4">
                  <c:v>4.28</c:v>
                </c:pt>
                <c:pt idx="5">
                  <c:v>4.28</c:v>
                </c:pt>
                <c:pt idx="6">
                  <c:v>4.07</c:v>
                </c:pt>
              </c:numCache>
            </c:numRef>
          </c:val>
        </c:ser>
        <c:dLbls>
          <c:showVal val="1"/>
        </c:dLbls>
        <c:overlap val="-25"/>
        <c:axId val="73938816"/>
        <c:axId val="73940352"/>
      </c:barChart>
      <c:catAx>
        <c:axId val="73938816"/>
        <c:scaling>
          <c:orientation val="minMax"/>
        </c:scaling>
        <c:axPos val="l"/>
        <c:majorTickMark val="none"/>
        <c:tickLblPos val="nextTo"/>
        <c:crossAx val="73940352"/>
        <c:crosses val="autoZero"/>
        <c:auto val="1"/>
        <c:lblAlgn val="ctr"/>
        <c:lblOffset val="100"/>
      </c:catAx>
      <c:valAx>
        <c:axId val="73940352"/>
        <c:scaling>
          <c:orientation val="minMax"/>
          <c:min val="0"/>
        </c:scaling>
        <c:delete val="1"/>
        <c:axPos val="b"/>
        <c:numFmt formatCode="General" sourceLinked="1"/>
        <c:majorTickMark val="none"/>
        <c:tickLblPos val="nextTo"/>
        <c:crossAx val="73938816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plotArea>
      <c:layout/>
      <c:lineChart>
        <c:grouping val="standard"/>
        <c:ser>
          <c:idx val="0"/>
          <c:order val="0"/>
          <c:tx>
            <c:v>1996</c:v>
          </c:tx>
          <c:cat>
            <c:strRef>
              <c:f>Sheet2!$A$28:$A$34</c:f>
              <c:strCache>
                <c:ptCount val="7"/>
                <c:pt idx="0">
                  <c:v>0-6 years</c:v>
                </c:pt>
                <c:pt idx="1">
                  <c:v>7-11 years</c:v>
                </c:pt>
                <c:pt idx="2">
                  <c:v>12 years</c:v>
                </c:pt>
                <c:pt idx="3">
                  <c:v>13-15 years</c:v>
                </c:pt>
                <c:pt idx="4">
                  <c:v>16 years</c:v>
                </c:pt>
                <c:pt idx="5">
                  <c:v>17/19 years</c:v>
                </c:pt>
                <c:pt idx="6">
                  <c:v>20+ years</c:v>
                </c:pt>
              </c:strCache>
            </c:strRef>
          </c:cat>
          <c:val>
            <c:numRef>
              <c:f>Sheet2!$B$28:$B$34</c:f>
              <c:numCache>
                <c:formatCode>General</c:formatCode>
                <c:ptCount val="7"/>
                <c:pt idx="0">
                  <c:v>3.210995</c:v>
                </c:pt>
                <c:pt idx="1">
                  <c:v>3.147802</c:v>
                </c:pt>
                <c:pt idx="2">
                  <c:v>3.0846089999999999</c:v>
                </c:pt>
                <c:pt idx="3">
                  <c:v>3.0214150000000002</c:v>
                </c:pt>
                <c:pt idx="4">
                  <c:v>2.9582220000000001</c:v>
                </c:pt>
                <c:pt idx="5">
                  <c:v>2.8950290000000001</c:v>
                </c:pt>
                <c:pt idx="6">
                  <c:v>2.831836</c:v>
                </c:pt>
              </c:numCache>
            </c:numRef>
          </c:val>
        </c:ser>
        <c:ser>
          <c:idx val="1"/>
          <c:order val="1"/>
          <c:tx>
            <c:v>2004</c:v>
          </c:tx>
          <c:cat>
            <c:strRef>
              <c:f>Sheet2!$A$28:$A$34</c:f>
              <c:strCache>
                <c:ptCount val="7"/>
                <c:pt idx="0">
                  <c:v>0-6 years</c:v>
                </c:pt>
                <c:pt idx="1">
                  <c:v>7-11 years</c:v>
                </c:pt>
                <c:pt idx="2">
                  <c:v>12 years</c:v>
                </c:pt>
                <c:pt idx="3">
                  <c:v>13-15 years</c:v>
                </c:pt>
                <c:pt idx="4">
                  <c:v>16 years</c:v>
                </c:pt>
                <c:pt idx="5">
                  <c:v>17/19 years</c:v>
                </c:pt>
                <c:pt idx="6">
                  <c:v>20+ years</c:v>
                </c:pt>
              </c:strCache>
            </c:strRef>
          </c:cat>
          <c:val>
            <c:numRef>
              <c:f>Sheet2!$C$28:$C$34</c:f>
              <c:numCache>
                <c:formatCode>General</c:formatCode>
                <c:ptCount val="7"/>
                <c:pt idx="0">
                  <c:v>3.795077</c:v>
                </c:pt>
                <c:pt idx="1">
                  <c:v>3.9344049999999999</c:v>
                </c:pt>
                <c:pt idx="2">
                  <c:v>4.0737329999999998</c:v>
                </c:pt>
                <c:pt idx="3">
                  <c:v>4.2130599999999996</c:v>
                </c:pt>
                <c:pt idx="4">
                  <c:v>4.3523880000000004</c:v>
                </c:pt>
                <c:pt idx="5">
                  <c:v>4.4917160000000003</c:v>
                </c:pt>
                <c:pt idx="6">
                  <c:v>4.6310440000000002</c:v>
                </c:pt>
              </c:numCache>
            </c:numRef>
          </c:val>
        </c:ser>
        <c:marker val="1"/>
        <c:axId val="73986048"/>
        <c:axId val="73987584"/>
      </c:lineChart>
      <c:catAx>
        <c:axId val="73986048"/>
        <c:scaling>
          <c:orientation val="minMax"/>
        </c:scaling>
        <c:axPos val="b"/>
        <c:tickLblPos val="nextTo"/>
        <c:crossAx val="73987584"/>
        <c:crosses val="autoZero"/>
        <c:auto val="1"/>
        <c:lblAlgn val="ctr"/>
        <c:lblOffset val="100"/>
      </c:catAx>
      <c:valAx>
        <c:axId val="73987584"/>
        <c:scaling>
          <c:orientation val="minMax"/>
          <c:min val="2"/>
        </c:scaling>
        <c:axPos val="l"/>
        <c:majorGridlines/>
        <c:numFmt formatCode="General" sourceLinked="1"/>
        <c:tickLblPos val="nextTo"/>
        <c:crossAx val="73986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autoTitleDeleted val="1"/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v>1996</c:v>
          </c:tx>
          <c:dLbls>
            <c:showVal val="1"/>
          </c:dLbls>
          <c:cat>
            <c:strRef>
              <c:f>Sheet2!$N$2:$N$11</c:f>
              <c:strCache>
                <c:ptCount val="10"/>
                <c:pt idx="0">
                  <c:v>Higher Grade Professionals </c:v>
                </c:pt>
                <c:pt idx="1">
                  <c:v>Lower Grade Professionals </c:v>
                </c:pt>
                <c:pt idx="2">
                  <c:v>routine nonmanual</c:v>
                </c:pt>
                <c:pt idx="3">
                  <c:v>Self Employed (with Employees)</c:v>
                </c:pt>
                <c:pt idx="4">
                  <c:v>Self Employed </c:v>
                </c:pt>
                <c:pt idx="5">
                  <c:v>Manual Supervisor</c:v>
                </c:pt>
                <c:pt idx="6">
                  <c:v>Skilled Manual</c:v>
                </c:pt>
                <c:pt idx="7">
                  <c:v>Semi-Unskilled Manual</c:v>
                </c:pt>
                <c:pt idx="8">
                  <c:v>Farm Labor</c:v>
                </c:pt>
                <c:pt idx="9">
                  <c:v>Self-Employed Farm</c:v>
                </c:pt>
              </c:strCache>
            </c:strRef>
          </c:cat>
          <c:val>
            <c:numRef>
              <c:f>Sheet2!$O$2:$O$11</c:f>
              <c:numCache>
                <c:formatCode>0.00</c:formatCode>
                <c:ptCount val="10"/>
                <c:pt idx="0">
                  <c:v>3.0479449999999999</c:v>
                </c:pt>
                <c:pt idx="1">
                  <c:v>2.9377879999999998</c:v>
                </c:pt>
                <c:pt idx="2">
                  <c:v>3.0451130000000002</c:v>
                </c:pt>
                <c:pt idx="3">
                  <c:v>3.567164</c:v>
                </c:pt>
                <c:pt idx="4">
                  <c:v>2.6666669999999999</c:v>
                </c:pt>
                <c:pt idx="5">
                  <c:v>3.3829790000000002</c:v>
                </c:pt>
                <c:pt idx="6">
                  <c:v>3.822581</c:v>
                </c:pt>
                <c:pt idx="7">
                  <c:v>3.3115939999999999</c:v>
                </c:pt>
                <c:pt idx="8">
                  <c:v>1.8</c:v>
                </c:pt>
                <c:pt idx="9">
                  <c:v>3.5</c:v>
                </c:pt>
              </c:numCache>
            </c:numRef>
          </c:val>
        </c:ser>
        <c:ser>
          <c:idx val="1"/>
          <c:order val="1"/>
          <c:tx>
            <c:v>2004</c:v>
          </c:tx>
          <c:dLbls>
            <c:showVal val="1"/>
          </c:dLbls>
          <c:cat>
            <c:strRef>
              <c:f>Sheet2!$N$2:$N$11</c:f>
              <c:strCache>
                <c:ptCount val="10"/>
                <c:pt idx="0">
                  <c:v>Higher Grade Professionals </c:v>
                </c:pt>
                <c:pt idx="1">
                  <c:v>Lower Grade Professionals </c:v>
                </c:pt>
                <c:pt idx="2">
                  <c:v>routine nonmanual</c:v>
                </c:pt>
                <c:pt idx="3">
                  <c:v>Self Employed (with Employees)</c:v>
                </c:pt>
                <c:pt idx="4">
                  <c:v>Self Employed </c:v>
                </c:pt>
                <c:pt idx="5">
                  <c:v>Manual Supervisor</c:v>
                </c:pt>
                <c:pt idx="6">
                  <c:v>Skilled Manual</c:v>
                </c:pt>
                <c:pt idx="7">
                  <c:v>Semi-Unskilled Manual</c:v>
                </c:pt>
                <c:pt idx="8">
                  <c:v>Farm Labor</c:v>
                </c:pt>
                <c:pt idx="9">
                  <c:v>Self-Employed Farm</c:v>
                </c:pt>
              </c:strCache>
            </c:strRef>
          </c:cat>
          <c:val>
            <c:numRef>
              <c:f>Sheet2!$P$2:$P$11</c:f>
              <c:numCache>
                <c:formatCode>0.00</c:formatCode>
                <c:ptCount val="10"/>
                <c:pt idx="0">
                  <c:v>4.1256539999999999</c:v>
                </c:pt>
                <c:pt idx="1">
                  <c:v>3.9212959999999999</c:v>
                </c:pt>
                <c:pt idx="2">
                  <c:v>3.848214</c:v>
                </c:pt>
                <c:pt idx="3">
                  <c:v>4.680555</c:v>
                </c:pt>
                <c:pt idx="4">
                  <c:v>4.8181820000000002</c:v>
                </c:pt>
                <c:pt idx="5">
                  <c:v>4.3684209999999997</c:v>
                </c:pt>
                <c:pt idx="6">
                  <c:v>4.5098039999999999</c:v>
                </c:pt>
                <c:pt idx="7">
                  <c:v>3.6732670000000001</c:v>
                </c:pt>
                <c:pt idx="8">
                  <c:v>3</c:v>
                </c:pt>
                <c:pt idx="9">
                  <c:v>3.8333330000000001</c:v>
                </c:pt>
              </c:numCache>
            </c:numRef>
          </c:val>
        </c:ser>
        <c:dLbls>
          <c:showVal val="1"/>
        </c:dLbls>
        <c:gapWidth val="75"/>
        <c:shape val="box"/>
        <c:axId val="73546368"/>
        <c:axId val="73556352"/>
        <c:axId val="0"/>
      </c:bar3DChart>
      <c:catAx>
        <c:axId val="73546368"/>
        <c:scaling>
          <c:orientation val="minMax"/>
        </c:scaling>
        <c:axPos val="l"/>
        <c:majorTickMark val="none"/>
        <c:tickLblPos val="nextTo"/>
        <c:crossAx val="73556352"/>
        <c:crosses val="autoZero"/>
        <c:auto val="1"/>
        <c:lblAlgn val="ctr"/>
        <c:lblOffset val="100"/>
      </c:catAx>
      <c:valAx>
        <c:axId val="73556352"/>
        <c:scaling>
          <c:orientation val="minMax"/>
        </c:scaling>
        <c:axPos val="b"/>
        <c:numFmt formatCode="0.00" sourceLinked="1"/>
        <c:majorTickMark val="none"/>
        <c:tickLblPos val="nextTo"/>
        <c:crossAx val="7354636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plotArea>
      <c:layout>
        <c:manualLayout>
          <c:layoutTarget val="inner"/>
          <c:xMode val="edge"/>
          <c:yMode val="edge"/>
          <c:x val="7.008735443312461E-2"/>
          <c:y val="3.1356565279897157E-2"/>
          <c:w val="0.92991264556687536"/>
          <c:h val="0.956759949363859"/>
        </c:manualLayout>
      </c:layout>
      <c:stockChart>
        <c:ser>
          <c:idx val="0"/>
          <c:order val="0"/>
          <c:spPr>
            <a:ln w="66675">
              <a:noFill/>
            </a:ln>
          </c:spPr>
          <c:marker>
            <c:symbol val="none"/>
          </c:marker>
          <c:cat>
            <c:strRef>
              <c:f>Sheet3!$C$19:$C$33</c:f>
              <c:strCache>
                <c:ptCount val="15"/>
                <c:pt idx="0">
                  <c:v>Fraternal</c:v>
                </c:pt>
                <c:pt idx="1">
                  <c:v>Service</c:v>
                </c:pt>
                <c:pt idx="2">
                  <c:v>Veteran</c:v>
                </c:pt>
                <c:pt idx="3">
                  <c:v>Political Club</c:v>
                </c:pt>
                <c:pt idx="4">
                  <c:v>Labor Union</c:v>
                </c:pt>
                <c:pt idx="5">
                  <c:v>Sports Club</c:v>
                </c:pt>
                <c:pt idx="6">
                  <c:v>Youth Group</c:v>
                </c:pt>
                <c:pt idx="7">
                  <c:v>School Service</c:v>
                </c:pt>
                <c:pt idx="8">
                  <c:v>Hobby Club</c:v>
                </c:pt>
                <c:pt idx="9">
                  <c:v>School Fraternity</c:v>
                </c:pt>
                <c:pt idx="10">
                  <c:v>Nationality Group</c:v>
                </c:pt>
                <c:pt idx="11">
                  <c:v>Farm Organization</c:v>
                </c:pt>
                <c:pt idx="12">
                  <c:v>Literary or Art</c:v>
                </c:pt>
                <c:pt idx="13">
                  <c:v>Professional Society</c:v>
                </c:pt>
                <c:pt idx="14">
                  <c:v>Church</c:v>
                </c:pt>
              </c:strCache>
            </c:strRef>
          </c:cat>
          <c:val>
            <c:numRef>
              <c:f>Sheet3!$D$19:$D$33</c:f>
              <c:numCache>
                <c:formatCode>0.00</c:formatCode>
                <c:ptCount val="15"/>
                <c:pt idx="0">
                  <c:v>0.22</c:v>
                </c:pt>
                <c:pt idx="1">
                  <c:v>-0.22</c:v>
                </c:pt>
                <c:pt idx="2">
                  <c:v>0.18</c:v>
                </c:pt>
                <c:pt idx="3">
                  <c:v>-0.76</c:v>
                </c:pt>
                <c:pt idx="4">
                  <c:v>-0.47</c:v>
                </c:pt>
                <c:pt idx="5">
                  <c:v>0.31</c:v>
                </c:pt>
                <c:pt idx="6">
                  <c:v>-0.28999999999999998</c:v>
                </c:pt>
                <c:pt idx="7">
                  <c:v>-0.44</c:v>
                </c:pt>
                <c:pt idx="8">
                  <c:v>-0.61</c:v>
                </c:pt>
                <c:pt idx="9">
                  <c:v>-0.16</c:v>
                </c:pt>
                <c:pt idx="10">
                  <c:v>-0.08</c:v>
                </c:pt>
                <c:pt idx="11">
                  <c:v>-0.34</c:v>
                </c:pt>
                <c:pt idx="12">
                  <c:v>-0.68</c:v>
                </c:pt>
                <c:pt idx="13">
                  <c:v>0.08</c:v>
                </c:pt>
                <c:pt idx="14">
                  <c:v>-0.04</c:v>
                </c:pt>
              </c:numCache>
            </c:numRef>
          </c:val>
        </c:ser>
        <c:ser>
          <c:idx val="1"/>
          <c:order val="1"/>
          <c:spPr>
            <a:ln w="66675">
              <a:noFill/>
            </a:ln>
          </c:spPr>
          <c:marker>
            <c:symbol val="none"/>
          </c:marker>
          <c:cat>
            <c:strRef>
              <c:f>Sheet3!$C$19:$C$33</c:f>
              <c:strCache>
                <c:ptCount val="15"/>
                <c:pt idx="0">
                  <c:v>Fraternal</c:v>
                </c:pt>
                <c:pt idx="1">
                  <c:v>Service</c:v>
                </c:pt>
                <c:pt idx="2">
                  <c:v>Veteran</c:v>
                </c:pt>
                <c:pt idx="3">
                  <c:v>Political Club</c:v>
                </c:pt>
                <c:pt idx="4">
                  <c:v>Labor Union</c:v>
                </c:pt>
                <c:pt idx="5">
                  <c:v>Sports Club</c:v>
                </c:pt>
                <c:pt idx="6">
                  <c:v>Youth Group</c:v>
                </c:pt>
                <c:pt idx="7">
                  <c:v>School Service</c:v>
                </c:pt>
                <c:pt idx="8">
                  <c:v>Hobby Club</c:v>
                </c:pt>
                <c:pt idx="9">
                  <c:v>School Fraternity</c:v>
                </c:pt>
                <c:pt idx="10">
                  <c:v>Nationality Group</c:v>
                </c:pt>
                <c:pt idx="11">
                  <c:v>Farm Organization</c:v>
                </c:pt>
                <c:pt idx="12">
                  <c:v>Literary or Art</c:v>
                </c:pt>
                <c:pt idx="13">
                  <c:v>Professional Society</c:v>
                </c:pt>
                <c:pt idx="14">
                  <c:v>Church</c:v>
                </c:pt>
              </c:strCache>
            </c:strRef>
          </c:cat>
          <c:val>
            <c:numRef>
              <c:f>Sheet3!$E$19:$E$33</c:f>
              <c:numCache>
                <c:formatCode>General</c:formatCode>
                <c:ptCount val="15"/>
                <c:pt idx="0">
                  <c:v>1.42</c:v>
                </c:pt>
                <c:pt idx="1">
                  <c:v>0.84</c:v>
                </c:pt>
                <c:pt idx="2">
                  <c:v>1.63</c:v>
                </c:pt>
                <c:pt idx="3">
                  <c:v>0.97</c:v>
                </c:pt>
                <c:pt idx="4">
                  <c:v>0.6</c:v>
                </c:pt>
                <c:pt idx="5" formatCode="0.00">
                  <c:v>1.24</c:v>
                </c:pt>
                <c:pt idx="6" formatCode="0.00">
                  <c:v>0.82</c:v>
                </c:pt>
                <c:pt idx="7" formatCode="0.00">
                  <c:v>0.47</c:v>
                </c:pt>
                <c:pt idx="8" formatCode="0.00">
                  <c:v>0.37</c:v>
                </c:pt>
                <c:pt idx="9" formatCode="0.00">
                  <c:v>1.39</c:v>
                </c:pt>
                <c:pt idx="10" formatCode="0.00">
                  <c:v>2.19</c:v>
                </c:pt>
                <c:pt idx="11" formatCode="0.00">
                  <c:v>1.45</c:v>
                </c:pt>
                <c:pt idx="12" formatCode="0.00">
                  <c:v>0.47</c:v>
                </c:pt>
                <c:pt idx="13" formatCode="0.00">
                  <c:v>1.02</c:v>
                </c:pt>
                <c:pt idx="14" formatCode="0.00">
                  <c:v>0.71</c:v>
                </c:pt>
              </c:numCache>
            </c:numRef>
          </c:val>
        </c:ser>
        <c:ser>
          <c:idx val="2"/>
          <c:order val="2"/>
          <c:spPr>
            <a:ln w="66675">
              <a:noFill/>
            </a:ln>
          </c:spPr>
          <c:marker>
            <c:symbol val="diamond"/>
            <c:size val="13"/>
          </c:marker>
          <c:cat>
            <c:strRef>
              <c:f>Sheet3!$C$19:$C$33</c:f>
              <c:strCache>
                <c:ptCount val="15"/>
                <c:pt idx="0">
                  <c:v>Fraternal</c:v>
                </c:pt>
                <c:pt idx="1">
                  <c:v>Service</c:v>
                </c:pt>
                <c:pt idx="2">
                  <c:v>Veteran</c:v>
                </c:pt>
                <c:pt idx="3">
                  <c:v>Political Club</c:v>
                </c:pt>
                <c:pt idx="4">
                  <c:v>Labor Union</c:v>
                </c:pt>
                <c:pt idx="5">
                  <c:v>Sports Club</c:v>
                </c:pt>
                <c:pt idx="6">
                  <c:v>Youth Group</c:v>
                </c:pt>
                <c:pt idx="7">
                  <c:v>School Service</c:v>
                </c:pt>
                <c:pt idx="8">
                  <c:v>Hobby Club</c:v>
                </c:pt>
                <c:pt idx="9">
                  <c:v>School Fraternity</c:v>
                </c:pt>
                <c:pt idx="10">
                  <c:v>Nationality Group</c:v>
                </c:pt>
                <c:pt idx="11">
                  <c:v>Farm Organization</c:v>
                </c:pt>
                <c:pt idx="12">
                  <c:v>Literary or Art</c:v>
                </c:pt>
                <c:pt idx="13">
                  <c:v>Professional Society</c:v>
                </c:pt>
                <c:pt idx="14">
                  <c:v>Church</c:v>
                </c:pt>
              </c:strCache>
            </c:strRef>
          </c:cat>
          <c:val>
            <c:numRef>
              <c:f>Sheet3!$F$19:$F$33</c:f>
              <c:numCache>
                <c:formatCode>0.00</c:formatCode>
                <c:ptCount val="15"/>
                <c:pt idx="0">
                  <c:v>0.82</c:v>
                </c:pt>
                <c:pt idx="1">
                  <c:v>0.31</c:v>
                </c:pt>
                <c:pt idx="2">
                  <c:v>0.9</c:v>
                </c:pt>
                <c:pt idx="3">
                  <c:v>0.1</c:v>
                </c:pt>
                <c:pt idx="4">
                  <c:v>0.06</c:v>
                </c:pt>
                <c:pt idx="5">
                  <c:v>0.77</c:v>
                </c:pt>
                <c:pt idx="6">
                  <c:v>0.27</c:v>
                </c:pt>
                <c:pt idx="7">
                  <c:v>0.01</c:v>
                </c:pt>
                <c:pt idx="8">
                  <c:v>-0.12</c:v>
                </c:pt>
                <c:pt idx="9">
                  <c:v>0.62</c:v>
                </c:pt>
                <c:pt idx="10">
                  <c:v>1.06</c:v>
                </c:pt>
                <c:pt idx="11">
                  <c:v>0.56000000000000005</c:v>
                </c:pt>
                <c:pt idx="12">
                  <c:v>-0.11</c:v>
                </c:pt>
                <c:pt idx="13">
                  <c:v>0.55000000000000004</c:v>
                </c:pt>
                <c:pt idx="14">
                  <c:v>0.33</c:v>
                </c:pt>
              </c:numCache>
            </c:numRef>
          </c:val>
        </c:ser>
        <c:hiLowLines/>
        <c:axId val="74012544"/>
        <c:axId val="74014080"/>
      </c:stockChart>
      <c:catAx>
        <c:axId val="74012544"/>
        <c:scaling>
          <c:orientation val="minMax"/>
        </c:scaling>
        <c:axPos val="b"/>
        <c:tickLblPos val="nextTo"/>
        <c:crossAx val="74014080"/>
        <c:crosses val="autoZero"/>
        <c:auto val="1"/>
        <c:lblAlgn val="ctr"/>
        <c:lblOffset val="100"/>
      </c:catAx>
      <c:valAx>
        <c:axId val="74014080"/>
        <c:scaling>
          <c:orientation val="minMax"/>
        </c:scaling>
        <c:axPos val="l"/>
        <c:majorGridlines/>
        <c:numFmt formatCode="0.00" sourceLinked="1"/>
        <c:tickLblPos val="nextTo"/>
        <c:crossAx val="74012544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Sheet3!$G$6</c:f>
              <c:strCache>
                <c:ptCount val="1"/>
                <c:pt idx="0">
                  <c:v>Mean U.S. Pride Score</c:v>
                </c:pt>
              </c:strCache>
            </c:strRef>
          </c:tx>
          <c:dLbls>
            <c:showVal val="1"/>
          </c:dLbls>
          <c:cat>
            <c:numRef>
              <c:f>Sheet3!$F$7:$F$8</c:f>
              <c:numCache>
                <c:formatCode>General</c:formatCode>
                <c:ptCount val="2"/>
                <c:pt idx="0">
                  <c:v>1996</c:v>
                </c:pt>
                <c:pt idx="1">
                  <c:v>2004</c:v>
                </c:pt>
              </c:numCache>
            </c:numRef>
          </c:cat>
          <c:val>
            <c:numRef>
              <c:f>Sheet3!$G$7:$G$8</c:f>
              <c:numCache>
                <c:formatCode>General</c:formatCode>
                <c:ptCount val="2"/>
                <c:pt idx="0">
                  <c:v>3.15</c:v>
                </c:pt>
                <c:pt idx="1">
                  <c:v>4.04</c:v>
                </c:pt>
              </c:numCache>
            </c:numRef>
          </c:val>
        </c:ser>
        <c:dLbls>
          <c:showVal val="1"/>
        </c:dLbls>
        <c:overlap val="-25"/>
        <c:axId val="79541760"/>
        <c:axId val="49599232"/>
      </c:barChart>
      <c:catAx>
        <c:axId val="79541760"/>
        <c:scaling>
          <c:orientation val="minMax"/>
        </c:scaling>
        <c:axPos val="b"/>
        <c:numFmt formatCode="General" sourceLinked="1"/>
        <c:majorTickMark val="none"/>
        <c:tickLblPos val="nextTo"/>
        <c:crossAx val="49599232"/>
        <c:crosses val="autoZero"/>
        <c:auto val="1"/>
        <c:lblAlgn val="ctr"/>
        <c:lblOffset val="100"/>
      </c:catAx>
      <c:valAx>
        <c:axId val="49599232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79541760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171449</xdr:rowOff>
    </xdr:from>
    <xdr:to>
      <xdr:col>12</xdr:col>
      <xdr:colOff>133350</xdr:colOff>
      <xdr:row>24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25</xdr:row>
      <xdr:rowOff>66672</xdr:rowOff>
    </xdr:from>
    <xdr:to>
      <xdr:col>12</xdr:col>
      <xdr:colOff>333375</xdr:colOff>
      <xdr:row>48</xdr:row>
      <xdr:rowOff>142876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495299</xdr:colOff>
      <xdr:row>14</xdr:row>
      <xdr:rowOff>47624</xdr:rowOff>
    </xdr:from>
    <xdr:to>
      <xdr:col>22</xdr:col>
      <xdr:colOff>476249</xdr:colOff>
      <xdr:row>34</xdr:row>
      <xdr:rowOff>171449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112060</xdr:rowOff>
    </xdr:from>
    <xdr:to>
      <xdr:col>9</xdr:col>
      <xdr:colOff>2532530</xdr:colOff>
      <xdr:row>52</xdr:row>
      <xdr:rowOff>156884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156882</xdr:colOff>
      <xdr:row>5</xdr:row>
      <xdr:rowOff>44824</xdr:rowOff>
    </xdr:from>
    <xdr:to>
      <xdr:col>12</xdr:col>
      <xdr:colOff>336176</xdr:colOff>
      <xdr:row>19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zoomScale="85" zoomScaleNormal="85" workbookViewId="0">
      <selection sqref="A1:A11"/>
    </sheetView>
  </sheetViews>
  <sheetFormatPr defaultRowHeight="15"/>
  <cols>
    <col min="1" max="1" width="53.5703125" style="7" bestFit="1" customWidth="1"/>
    <col min="2" max="2" width="6.85546875" style="7" bestFit="1" customWidth="1"/>
    <col min="3" max="3" width="10.42578125" style="7" bestFit="1" customWidth="1"/>
    <col min="4" max="4" width="9.85546875" style="7" bestFit="1" customWidth="1"/>
    <col min="5" max="5" width="1.7109375" style="7" bestFit="1" customWidth="1"/>
    <col min="6" max="6" width="53.5703125" style="7" bestFit="1" customWidth="1"/>
    <col min="7" max="7" width="14.28515625" style="7" bestFit="1" customWidth="1"/>
    <col min="8" max="8" width="11.85546875" style="7" bestFit="1" customWidth="1"/>
    <col min="9" max="9" width="14.28515625" style="7" bestFit="1" customWidth="1"/>
    <col min="10" max="10" width="8.5703125" style="7" bestFit="1" customWidth="1"/>
    <col min="11" max="11" width="9.7109375" style="7" bestFit="1" customWidth="1"/>
    <col min="12" max="12" width="10.28515625" style="7" bestFit="1" customWidth="1"/>
    <col min="13" max="13" width="14.28515625" style="7" bestFit="1" customWidth="1"/>
    <col min="14" max="14" width="11.85546875" style="7" bestFit="1" customWidth="1"/>
    <col min="15" max="15" width="14.28515625" style="7" bestFit="1" customWidth="1"/>
    <col min="16" max="17" width="10.28515625" style="7" bestFit="1" customWidth="1"/>
    <col min="18" max="16384" width="9.140625" style="7"/>
  </cols>
  <sheetData>
    <row r="1" spans="1:11">
      <c r="A1" s="7" t="s">
        <v>0</v>
      </c>
      <c r="B1" s="1" t="s">
        <v>66</v>
      </c>
      <c r="C1" s="8" t="s">
        <v>17</v>
      </c>
      <c r="D1" s="8" t="s">
        <v>18</v>
      </c>
      <c r="I1" s="7">
        <v>1996</v>
      </c>
    </row>
    <row r="2" spans="1:11">
      <c r="A2" s="7" t="s">
        <v>1</v>
      </c>
      <c r="B2" s="8">
        <v>1.61</v>
      </c>
      <c r="C2" s="9">
        <v>81.06</v>
      </c>
      <c r="D2" s="10">
        <v>0</v>
      </c>
      <c r="F2" s="7" t="s">
        <v>0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</row>
    <row r="3" spans="1:11">
      <c r="A3" s="7" t="s">
        <v>2</v>
      </c>
      <c r="B3" s="8">
        <v>1.26</v>
      </c>
      <c r="C3" s="9">
        <v>15.75</v>
      </c>
      <c r="D3" s="10">
        <v>1E-4</v>
      </c>
      <c r="F3" s="7" t="s">
        <v>1</v>
      </c>
      <c r="G3" s="11">
        <v>0.3128205</v>
      </c>
      <c r="H3" s="11">
        <v>0.24274409999999999</v>
      </c>
      <c r="I3" s="11">
        <v>0.22352939999999999</v>
      </c>
      <c r="J3" s="11">
        <v>0.32300879999999998</v>
      </c>
      <c r="K3" s="11">
        <v>0.31372549999999999</v>
      </c>
    </row>
    <row r="4" spans="1:11">
      <c r="A4" s="7" t="s">
        <v>3</v>
      </c>
      <c r="B4" s="8">
        <v>1.85</v>
      </c>
      <c r="C4" s="9">
        <v>144.49</v>
      </c>
      <c r="D4" s="10">
        <v>0</v>
      </c>
      <c r="F4" s="7" t="s">
        <v>2</v>
      </c>
      <c r="G4" s="11">
        <v>0.22051280000000001</v>
      </c>
      <c r="H4" s="11">
        <v>0.18601580000000001</v>
      </c>
      <c r="I4" s="11">
        <v>0.2117647</v>
      </c>
      <c r="J4" s="11">
        <v>0.2477876</v>
      </c>
      <c r="K4" s="11">
        <v>0.2156863</v>
      </c>
    </row>
    <row r="5" spans="1:11">
      <c r="A5" s="7" t="s">
        <v>4</v>
      </c>
      <c r="B5" s="8">
        <v>1.27</v>
      </c>
      <c r="C5" s="9">
        <v>11.37</v>
      </c>
      <c r="D5" s="10">
        <v>6.9999999999999999E-4</v>
      </c>
      <c r="F5" s="7" t="s">
        <v>3</v>
      </c>
      <c r="G5" s="11">
        <v>0.27179490000000001</v>
      </c>
      <c r="H5" s="11">
        <v>0.25725589999999998</v>
      </c>
      <c r="I5" s="11">
        <v>0.28235300000000002</v>
      </c>
      <c r="J5" s="11">
        <v>0.32300879999999998</v>
      </c>
      <c r="K5" s="11">
        <v>0.2843137</v>
      </c>
    </row>
    <row r="6" spans="1:11">
      <c r="A6" s="7" t="s">
        <v>5</v>
      </c>
      <c r="B6" s="8">
        <v>1.58</v>
      </c>
      <c r="C6" s="9">
        <v>91.76</v>
      </c>
      <c r="D6" s="10">
        <v>0</v>
      </c>
      <c r="F6" s="7" t="s">
        <v>4</v>
      </c>
      <c r="G6" s="11">
        <v>0.26666669999999998</v>
      </c>
      <c r="H6" s="11">
        <v>0.12137199999999999</v>
      </c>
      <c r="I6" s="11">
        <v>8.2352900000000007E-2</v>
      </c>
      <c r="J6" s="11">
        <v>8.8495599999999994E-2</v>
      </c>
      <c r="K6" s="11">
        <v>9.8039200000000007E-2</v>
      </c>
    </row>
    <row r="7" spans="1:11">
      <c r="A7" s="7" t="s">
        <v>6</v>
      </c>
      <c r="B7" s="8">
        <v>1.37</v>
      </c>
      <c r="C7" s="9">
        <v>42.7</v>
      </c>
      <c r="D7" s="10">
        <v>0</v>
      </c>
      <c r="F7" s="7" t="s">
        <v>5</v>
      </c>
      <c r="G7" s="11">
        <v>0.3641026</v>
      </c>
      <c r="H7" s="11">
        <v>0.4538259</v>
      </c>
      <c r="I7" s="11">
        <v>0.41176469999999998</v>
      </c>
      <c r="J7" s="11">
        <v>0.58849560000000001</v>
      </c>
      <c r="K7" s="11">
        <v>0.63725489999999996</v>
      </c>
    </row>
    <row r="8" spans="1:11">
      <c r="A8" s="7" t="s">
        <v>7</v>
      </c>
      <c r="B8" s="8">
        <v>1.82</v>
      </c>
      <c r="C8" s="9">
        <v>139.19</v>
      </c>
      <c r="D8" s="10">
        <v>0</v>
      </c>
      <c r="F8" s="7" t="s">
        <v>6</v>
      </c>
      <c r="G8" s="11">
        <v>0.45128210000000002</v>
      </c>
      <c r="H8" s="11">
        <v>0.3509235</v>
      </c>
      <c r="I8" s="11">
        <v>0.32941179999999998</v>
      </c>
      <c r="J8" s="11">
        <v>0.30088500000000001</v>
      </c>
      <c r="K8" s="11">
        <v>0.25490200000000002</v>
      </c>
    </row>
    <row r="9" spans="1:11">
      <c r="A9" s="7" t="s">
        <v>8</v>
      </c>
      <c r="B9" s="8">
        <v>3.73</v>
      </c>
      <c r="C9" s="9">
        <v>641</v>
      </c>
      <c r="D9" s="10">
        <v>0</v>
      </c>
      <c r="F9" s="7" t="s">
        <v>7</v>
      </c>
      <c r="G9" s="11">
        <v>0.3435898</v>
      </c>
      <c r="H9" s="11">
        <v>0.26253300000000002</v>
      </c>
      <c r="I9" s="11">
        <v>0.28235300000000002</v>
      </c>
      <c r="J9" s="11">
        <v>0.28761059999999999</v>
      </c>
      <c r="K9" s="11">
        <v>0.30392160000000001</v>
      </c>
    </row>
    <row r="10" spans="1:11">
      <c r="A10" s="7" t="s">
        <v>9</v>
      </c>
      <c r="B10" s="8">
        <v>2.0099999999999998</v>
      </c>
      <c r="C10" s="9">
        <v>204.4</v>
      </c>
      <c r="D10" s="10">
        <v>0</v>
      </c>
      <c r="F10" s="7" t="s">
        <v>8</v>
      </c>
      <c r="G10" s="11">
        <v>0.54358980000000001</v>
      </c>
      <c r="H10" s="11">
        <v>0.4934037</v>
      </c>
      <c r="I10" s="11">
        <v>0.41176469999999998</v>
      </c>
      <c r="J10" s="11">
        <v>0.38938050000000002</v>
      </c>
      <c r="K10" s="11">
        <v>0.27450980000000003</v>
      </c>
    </row>
    <row r="11" spans="1:11">
      <c r="A11" s="7" t="s">
        <v>10</v>
      </c>
      <c r="B11" s="8">
        <v>1.85</v>
      </c>
      <c r="C11" s="9">
        <v>110.97</v>
      </c>
      <c r="D11" s="10">
        <v>0</v>
      </c>
      <c r="F11" s="7" t="s">
        <v>9</v>
      </c>
      <c r="G11" s="11">
        <v>0.51794870000000004</v>
      </c>
      <c r="H11" s="11">
        <v>0.48284959999999999</v>
      </c>
      <c r="I11" s="11">
        <v>0.4235294</v>
      </c>
      <c r="J11" s="11">
        <v>0.43362830000000002</v>
      </c>
      <c r="K11" s="11">
        <v>0.36274509999999999</v>
      </c>
    </row>
    <row r="12" spans="1:11">
      <c r="B12" s="9"/>
      <c r="C12" s="8"/>
      <c r="D12" s="10"/>
      <c r="F12" s="7" t="s">
        <v>10</v>
      </c>
      <c r="G12" s="11">
        <v>0.3025641</v>
      </c>
      <c r="H12" s="11">
        <v>0.1622691</v>
      </c>
      <c r="I12" s="11">
        <v>8.2352900000000007E-2</v>
      </c>
      <c r="J12" s="11">
        <v>0.11946900000000001</v>
      </c>
      <c r="K12" s="11">
        <v>0.1666667</v>
      </c>
    </row>
    <row r="13" spans="1:11">
      <c r="B13" s="8"/>
      <c r="C13" s="8"/>
    </row>
    <row r="14" spans="1:11">
      <c r="I14" s="7">
        <v>2004</v>
      </c>
    </row>
    <row r="15" spans="1:11">
      <c r="F15" s="7" t="s">
        <v>0</v>
      </c>
      <c r="G15" s="7" t="s">
        <v>12</v>
      </c>
      <c r="H15" s="7" t="s">
        <v>13</v>
      </c>
      <c r="I15" s="7" t="s">
        <v>14</v>
      </c>
      <c r="J15" s="7" t="s">
        <v>15</v>
      </c>
      <c r="K15" s="7" t="s">
        <v>16</v>
      </c>
    </row>
    <row r="16" spans="1:11">
      <c r="F16" s="7" t="s">
        <v>1</v>
      </c>
      <c r="G16" s="11">
        <v>0.2148148</v>
      </c>
      <c r="H16" s="11">
        <v>0.2911184</v>
      </c>
      <c r="I16" s="11">
        <v>0.30769229999999997</v>
      </c>
      <c r="J16" s="11">
        <v>0.36546190000000001</v>
      </c>
      <c r="K16" s="11">
        <v>0.4166667</v>
      </c>
    </row>
    <row r="17" spans="1:13">
      <c r="A17" s="7" t="s">
        <v>11</v>
      </c>
      <c r="B17" s="7">
        <v>1996</v>
      </c>
      <c r="C17" s="7">
        <v>2004</v>
      </c>
      <c r="D17" s="7" t="s">
        <v>19</v>
      </c>
      <c r="F17" s="7" t="s">
        <v>2</v>
      </c>
      <c r="G17" s="11">
        <v>0.22222220000000001</v>
      </c>
      <c r="H17" s="11">
        <v>0.1973684</v>
      </c>
      <c r="I17" s="11">
        <v>0.28846149999999998</v>
      </c>
      <c r="J17" s="11">
        <v>0.20080319999999999</v>
      </c>
      <c r="K17" s="11">
        <v>0.27500000000000002</v>
      </c>
    </row>
    <row r="18" spans="1:13">
      <c r="F18" s="7" t="s">
        <v>3</v>
      </c>
      <c r="G18" s="11">
        <v>0.24444440000000001</v>
      </c>
      <c r="H18" s="11">
        <v>0.3634869</v>
      </c>
      <c r="I18" s="11">
        <v>0.375</v>
      </c>
      <c r="J18" s="11">
        <v>0.46586349999999999</v>
      </c>
      <c r="K18" s="11">
        <v>0.44166670000000002</v>
      </c>
    </row>
    <row r="19" spans="1:13">
      <c r="A19" s="7" t="s">
        <v>20</v>
      </c>
      <c r="B19" s="12">
        <v>3.3803559999999999</v>
      </c>
      <c r="C19" s="12">
        <v>3.406911</v>
      </c>
      <c r="D19" s="12">
        <f>C19-B19</f>
        <v>2.6555000000000106E-2</v>
      </c>
      <c r="F19" s="7" t="s">
        <v>4</v>
      </c>
      <c r="G19" s="11">
        <v>0.1407407</v>
      </c>
      <c r="H19" s="11">
        <v>0.1266447</v>
      </c>
      <c r="I19" s="11">
        <v>7.6923099999999994E-2</v>
      </c>
      <c r="J19" s="11">
        <v>8.8353399999999999E-2</v>
      </c>
      <c r="K19" s="11">
        <v>0.2</v>
      </c>
    </row>
    <row r="20" spans="1:13">
      <c r="A20" s="7" t="s">
        <v>13</v>
      </c>
      <c r="B20" s="12">
        <v>2.972769</v>
      </c>
      <c r="C20" s="12">
        <v>3.9588800000000002</v>
      </c>
      <c r="D20" s="12">
        <f t="shared" ref="D20:D23" si="0">C20-B20</f>
        <v>0.98611100000000018</v>
      </c>
      <c r="F20" s="7" t="s">
        <v>5</v>
      </c>
      <c r="G20" s="11">
        <v>0.34074070000000001</v>
      </c>
      <c r="H20" s="11">
        <v>0.52796050000000005</v>
      </c>
      <c r="I20" s="11">
        <v>0.58653840000000002</v>
      </c>
      <c r="J20" s="11">
        <v>0.67469880000000004</v>
      </c>
      <c r="K20" s="11">
        <v>0.79166669999999995</v>
      </c>
    </row>
    <row r="21" spans="1:13">
      <c r="A21" s="7" t="s">
        <v>14</v>
      </c>
      <c r="B21" s="12">
        <v>3.0739570000000001</v>
      </c>
      <c r="C21" s="12">
        <v>4.2264860000000004</v>
      </c>
      <c r="D21" s="12">
        <f t="shared" si="0"/>
        <v>1.1525290000000004</v>
      </c>
      <c r="F21" s="7" t="s">
        <v>6</v>
      </c>
      <c r="G21" s="11">
        <v>0.40740739999999998</v>
      </c>
      <c r="H21" s="11">
        <v>0.4177631</v>
      </c>
      <c r="I21" s="11">
        <v>0.4903846</v>
      </c>
      <c r="J21" s="11">
        <v>0.44578309999999999</v>
      </c>
      <c r="K21" s="11">
        <v>0.3333333</v>
      </c>
    </row>
    <row r="22" spans="1:13">
      <c r="A22" s="7" t="s">
        <v>22</v>
      </c>
      <c r="B22" s="12">
        <v>3.2677390000000002</v>
      </c>
      <c r="C22" s="12">
        <v>4.2164270000000004</v>
      </c>
      <c r="D22" s="12">
        <f t="shared" si="0"/>
        <v>0.9486880000000002</v>
      </c>
      <c r="F22" s="7" t="s">
        <v>7</v>
      </c>
      <c r="G22" s="11">
        <v>0.30370370000000002</v>
      </c>
      <c r="H22" s="11">
        <v>0.3865131</v>
      </c>
      <c r="I22" s="11">
        <v>0.40384609999999999</v>
      </c>
      <c r="J22" s="11">
        <v>0.3855422</v>
      </c>
      <c r="K22" s="11">
        <v>0.4583333</v>
      </c>
    </row>
    <row r="23" spans="1:13">
      <c r="A23" s="7" t="s">
        <v>21</v>
      </c>
      <c r="B23" s="12">
        <v>2.9150710000000002</v>
      </c>
      <c r="C23" s="12">
        <v>4.426107</v>
      </c>
      <c r="D23" s="12">
        <f t="shared" si="0"/>
        <v>1.5110359999999998</v>
      </c>
      <c r="F23" s="7" t="s">
        <v>8</v>
      </c>
      <c r="G23" s="11">
        <v>0.72592590000000001</v>
      </c>
      <c r="H23" s="11">
        <v>0.77796050000000005</v>
      </c>
      <c r="I23" s="11">
        <v>0.75961540000000005</v>
      </c>
      <c r="J23" s="11">
        <v>0.70682730000000005</v>
      </c>
      <c r="K23" s="11">
        <v>0.6</v>
      </c>
    </row>
    <row r="24" spans="1:13">
      <c r="F24" s="7" t="s">
        <v>9</v>
      </c>
      <c r="G24" s="11">
        <v>0.62962960000000001</v>
      </c>
      <c r="H24" s="11">
        <v>0.60690789999999994</v>
      </c>
      <c r="I24" s="11">
        <v>0.63461540000000005</v>
      </c>
      <c r="J24" s="11">
        <v>0.58634540000000002</v>
      </c>
      <c r="K24" s="11">
        <v>0.50833329999999999</v>
      </c>
    </row>
    <row r="25" spans="1:13">
      <c r="F25" s="7" t="s">
        <v>10</v>
      </c>
      <c r="G25" s="11">
        <v>0.26666669999999998</v>
      </c>
      <c r="H25" s="11">
        <v>0.2286184</v>
      </c>
      <c r="I25" s="11">
        <v>0.21153849999999999</v>
      </c>
      <c r="J25" s="11">
        <v>0.2610442</v>
      </c>
      <c r="K25" s="11">
        <v>0.25833329999999999</v>
      </c>
    </row>
    <row r="26" spans="1:13">
      <c r="B26" s="7">
        <v>1996</v>
      </c>
      <c r="C26" s="7">
        <v>2004</v>
      </c>
      <c r="D26" s="7" t="s">
        <v>19</v>
      </c>
    </row>
    <row r="27" spans="1:13">
      <c r="A27" t="s">
        <v>90</v>
      </c>
      <c r="B27" s="13">
        <v>3.0479449999999999</v>
      </c>
      <c r="C27" s="13">
        <v>4.1256539999999999</v>
      </c>
      <c r="D27" s="12">
        <f>C27-B27</f>
        <v>1.077709</v>
      </c>
      <c r="F27" s="7" t="s">
        <v>0</v>
      </c>
      <c r="G27" s="7" t="s">
        <v>12</v>
      </c>
      <c r="H27" s="7" t="s">
        <v>13</v>
      </c>
      <c r="I27" s="7" t="s">
        <v>14</v>
      </c>
      <c r="J27" s="7" t="s">
        <v>15</v>
      </c>
      <c r="K27" s="7" t="s">
        <v>16</v>
      </c>
    </row>
    <row r="28" spans="1:13">
      <c r="A28" t="s">
        <v>89</v>
      </c>
      <c r="B28" s="13">
        <v>2.9377879999999998</v>
      </c>
      <c r="C28" s="13">
        <v>3.9212959999999999</v>
      </c>
      <c r="D28" s="12">
        <f t="shared" ref="D28:D36" si="1">C28-B28</f>
        <v>0.98350800000000005</v>
      </c>
      <c r="E28" s="7" t="s">
        <v>31</v>
      </c>
      <c r="F28" s="7" t="s">
        <v>1</v>
      </c>
      <c r="G28" s="11">
        <f t="shared" ref="G28:K37" si="2">G16-G3</f>
        <v>-9.8005700000000001E-2</v>
      </c>
      <c r="H28" s="11">
        <f t="shared" si="2"/>
        <v>4.8374300000000009E-2</v>
      </c>
      <c r="I28" s="11">
        <f t="shared" si="2"/>
        <v>8.4162899999999985E-2</v>
      </c>
      <c r="J28" s="11">
        <f t="shared" si="2"/>
        <v>4.2453100000000021E-2</v>
      </c>
      <c r="K28" s="11">
        <f t="shared" si="2"/>
        <v>0.10294120000000001</v>
      </c>
      <c r="M28" s="11"/>
    </row>
    <row r="29" spans="1:13">
      <c r="A29" s="7" t="s">
        <v>88</v>
      </c>
      <c r="B29" s="13">
        <v>3.0451130000000002</v>
      </c>
      <c r="C29" s="13">
        <v>3.848214</v>
      </c>
      <c r="D29" s="12">
        <f t="shared" si="1"/>
        <v>0.80310099999999984</v>
      </c>
      <c r="E29" s="7" t="s">
        <v>31</v>
      </c>
      <c r="F29" s="7" t="s">
        <v>2</v>
      </c>
      <c r="G29" s="11">
        <f t="shared" si="2"/>
        <v>1.7093999999999998E-3</v>
      </c>
      <c r="H29" s="11">
        <f t="shared" si="2"/>
        <v>1.135259999999999E-2</v>
      </c>
      <c r="I29" s="11">
        <f t="shared" si="2"/>
        <v>7.6696799999999982E-2</v>
      </c>
      <c r="J29" s="11">
        <f t="shared" si="2"/>
        <v>-4.6984400000000009E-2</v>
      </c>
      <c r="K29" s="11">
        <f t="shared" si="2"/>
        <v>5.9313700000000025E-2</v>
      </c>
      <c r="M29" s="11"/>
    </row>
    <row r="30" spans="1:13">
      <c r="A30" t="s">
        <v>91</v>
      </c>
      <c r="B30" s="13">
        <v>3.567164</v>
      </c>
      <c r="C30" s="13">
        <v>4.680555</v>
      </c>
      <c r="D30" s="12">
        <f t="shared" si="1"/>
        <v>1.113391</v>
      </c>
      <c r="E30" s="7" t="s">
        <v>31</v>
      </c>
      <c r="F30" s="7" t="s">
        <v>3</v>
      </c>
      <c r="G30" s="11">
        <f t="shared" si="2"/>
        <v>-2.73505E-2</v>
      </c>
      <c r="H30" s="11">
        <f t="shared" si="2"/>
        <v>0.10623100000000002</v>
      </c>
      <c r="I30" s="11">
        <f t="shared" si="2"/>
        <v>9.2646999999999979E-2</v>
      </c>
      <c r="J30" s="11">
        <f t="shared" si="2"/>
        <v>0.1428547</v>
      </c>
      <c r="K30" s="11">
        <f t="shared" si="2"/>
        <v>0.15735300000000002</v>
      </c>
      <c r="M30" s="11"/>
    </row>
    <row r="31" spans="1:13">
      <c r="A31" t="s">
        <v>92</v>
      </c>
      <c r="B31" s="13">
        <v>2.6666669999999999</v>
      </c>
      <c r="C31" s="13">
        <v>4.8181820000000002</v>
      </c>
      <c r="D31" s="12">
        <f t="shared" si="1"/>
        <v>2.1515150000000003</v>
      </c>
      <c r="E31" s="7" t="s">
        <v>31</v>
      </c>
      <c r="F31" s="7" t="s">
        <v>4</v>
      </c>
      <c r="G31" s="11">
        <f t="shared" si="2"/>
        <v>-0.12592599999999998</v>
      </c>
      <c r="H31" s="11">
        <f t="shared" si="2"/>
        <v>5.2727000000000052E-3</v>
      </c>
      <c r="I31" s="11">
        <f t="shared" si="2"/>
        <v>-5.4298000000000124E-3</v>
      </c>
      <c r="J31" s="11">
        <f t="shared" si="2"/>
        <v>-1.4219999999999511E-4</v>
      </c>
      <c r="K31" s="11">
        <f t="shared" si="2"/>
        <v>0.1019608</v>
      </c>
      <c r="M31" s="11"/>
    </row>
    <row r="32" spans="1:13">
      <c r="A32" t="s">
        <v>93</v>
      </c>
      <c r="B32" s="13">
        <v>3.3829790000000002</v>
      </c>
      <c r="C32" s="13">
        <v>4.3684209999999997</v>
      </c>
      <c r="D32" s="12">
        <f t="shared" si="1"/>
        <v>0.98544199999999949</v>
      </c>
      <c r="E32" s="7" t="s">
        <v>31</v>
      </c>
      <c r="F32" s="7" t="s">
        <v>5</v>
      </c>
      <c r="G32" s="11">
        <f t="shared" si="2"/>
        <v>-2.3361899999999991E-2</v>
      </c>
      <c r="H32" s="11">
        <f t="shared" si="2"/>
        <v>7.413460000000005E-2</v>
      </c>
      <c r="I32" s="11">
        <f t="shared" si="2"/>
        <v>0.17477370000000003</v>
      </c>
      <c r="J32" s="11">
        <f t="shared" si="2"/>
        <v>8.6203200000000035E-2</v>
      </c>
      <c r="K32" s="11">
        <f t="shared" si="2"/>
        <v>0.15441179999999999</v>
      </c>
      <c r="M32" s="11"/>
    </row>
    <row r="33" spans="1:13">
      <c r="A33" t="s">
        <v>94</v>
      </c>
      <c r="B33" s="13">
        <v>3.822581</v>
      </c>
      <c r="C33" s="13">
        <v>4.5098039999999999</v>
      </c>
      <c r="D33" s="12">
        <f t="shared" si="1"/>
        <v>0.68722299999999992</v>
      </c>
      <c r="E33" s="7" t="s">
        <v>31</v>
      </c>
      <c r="F33" s="7" t="s">
        <v>6</v>
      </c>
      <c r="G33" s="11">
        <f t="shared" si="2"/>
        <v>-4.3874700000000044E-2</v>
      </c>
      <c r="H33" s="11">
        <f t="shared" si="2"/>
        <v>6.6839599999999999E-2</v>
      </c>
      <c r="I33" s="11">
        <f t="shared" si="2"/>
        <v>0.16097280000000003</v>
      </c>
      <c r="J33" s="11">
        <f t="shared" si="2"/>
        <v>0.14489809999999997</v>
      </c>
      <c r="K33" s="11">
        <f t="shared" si="2"/>
        <v>7.8431299999999982E-2</v>
      </c>
      <c r="M33" s="11"/>
    </row>
    <row r="34" spans="1:13">
      <c r="A34" t="s">
        <v>95</v>
      </c>
      <c r="B34" s="13">
        <v>3.3115939999999999</v>
      </c>
      <c r="C34" s="13">
        <v>3.6732670000000001</v>
      </c>
      <c r="D34" s="12">
        <f t="shared" si="1"/>
        <v>0.36167300000000013</v>
      </c>
      <c r="E34" s="7" t="s">
        <v>31</v>
      </c>
      <c r="F34" s="7" t="s">
        <v>7</v>
      </c>
      <c r="G34" s="11">
        <f t="shared" si="2"/>
        <v>-3.988609999999998E-2</v>
      </c>
      <c r="H34" s="11">
        <f t="shared" si="2"/>
        <v>0.12398009999999998</v>
      </c>
      <c r="I34" s="11">
        <f t="shared" si="2"/>
        <v>0.12149309999999997</v>
      </c>
      <c r="J34" s="11">
        <f t="shared" si="2"/>
        <v>9.7931600000000008E-2</v>
      </c>
      <c r="K34" s="11">
        <f t="shared" si="2"/>
        <v>0.15441169999999999</v>
      </c>
      <c r="M34" s="11"/>
    </row>
    <row r="35" spans="1:13">
      <c r="A35" t="s">
        <v>96</v>
      </c>
      <c r="B35" s="13">
        <v>1.8</v>
      </c>
      <c r="C35" s="13">
        <v>3</v>
      </c>
      <c r="D35" s="12">
        <f t="shared" si="1"/>
        <v>1.2</v>
      </c>
      <c r="E35" s="7" t="s">
        <v>31</v>
      </c>
      <c r="F35" s="7" t="s">
        <v>8</v>
      </c>
      <c r="G35" s="11">
        <f t="shared" si="2"/>
        <v>0.1823361</v>
      </c>
      <c r="H35" s="11">
        <f t="shared" si="2"/>
        <v>0.28455680000000005</v>
      </c>
      <c r="I35" s="11">
        <f t="shared" si="2"/>
        <v>0.34785070000000007</v>
      </c>
      <c r="J35" s="11">
        <f t="shared" si="2"/>
        <v>0.31744680000000003</v>
      </c>
      <c r="K35" s="11">
        <f t="shared" si="2"/>
        <v>0.32549019999999995</v>
      </c>
      <c r="M35" s="11"/>
    </row>
    <row r="36" spans="1:13">
      <c r="A36" t="s">
        <v>97</v>
      </c>
      <c r="B36" s="13">
        <v>3.5</v>
      </c>
      <c r="C36" s="13">
        <v>3.8333330000000001</v>
      </c>
      <c r="D36" s="12">
        <f t="shared" si="1"/>
        <v>0.3333330000000001</v>
      </c>
      <c r="E36" s="7" t="s">
        <v>31</v>
      </c>
      <c r="F36" s="7" t="s">
        <v>9</v>
      </c>
      <c r="G36" s="11">
        <f t="shared" si="2"/>
        <v>0.11168089999999997</v>
      </c>
      <c r="H36" s="11">
        <f t="shared" si="2"/>
        <v>0.12405829999999995</v>
      </c>
      <c r="I36" s="11">
        <f t="shared" si="2"/>
        <v>0.21108600000000005</v>
      </c>
      <c r="J36" s="11">
        <f t="shared" si="2"/>
        <v>0.15271709999999999</v>
      </c>
      <c r="K36" s="11">
        <f t="shared" si="2"/>
        <v>0.1455882</v>
      </c>
      <c r="M36" s="11"/>
    </row>
    <row r="37" spans="1:13">
      <c r="E37" s="7" t="s">
        <v>31</v>
      </c>
      <c r="F37" s="7" t="s">
        <v>10</v>
      </c>
      <c r="G37" s="11">
        <f t="shared" si="2"/>
        <v>-3.5897400000000024E-2</v>
      </c>
      <c r="H37" s="11">
        <f t="shared" si="2"/>
        <v>6.63493E-2</v>
      </c>
      <c r="I37" s="11">
        <f t="shared" si="2"/>
        <v>0.12918559999999998</v>
      </c>
      <c r="J37" s="11">
        <f t="shared" si="2"/>
        <v>0.14157520000000001</v>
      </c>
      <c r="K37" s="11">
        <f t="shared" si="2"/>
        <v>9.1666599999999987E-2</v>
      </c>
      <c r="M37" s="11"/>
    </row>
    <row r="38" spans="1:13">
      <c r="E38" s="7" t="s">
        <v>31</v>
      </c>
    </row>
    <row r="43" spans="1:13">
      <c r="E43" s="7" t="s">
        <v>31</v>
      </c>
    </row>
    <row r="44" spans="1:13">
      <c r="E44" s="7" t="s">
        <v>31</v>
      </c>
    </row>
    <row r="45" spans="1:13">
      <c r="E45" s="7" t="s">
        <v>31</v>
      </c>
    </row>
    <row r="46" spans="1:13">
      <c r="E46" s="7" t="s">
        <v>31</v>
      </c>
    </row>
    <row r="47" spans="1:13">
      <c r="E47" s="7" t="s">
        <v>31</v>
      </c>
    </row>
    <row r="48" spans="1:13">
      <c r="E48" s="7" t="s">
        <v>31</v>
      </c>
    </row>
    <row r="49" spans="5:5">
      <c r="E49" s="7" t="s">
        <v>31</v>
      </c>
    </row>
    <row r="50" spans="5:5">
      <c r="E50" s="7" t="s">
        <v>31</v>
      </c>
    </row>
    <row r="51" spans="5:5">
      <c r="E51" s="7" t="s">
        <v>31</v>
      </c>
    </row>
    <row r="52" spans="5:5">
      <c r="E52" s="7" t="s">
        <v>31</v>
      </c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Q38"/>
  <sheetViews>
    <sheetView workbookViewId="0">
      <selection activeCell="R37" sqref="R37"/>
    </sheetView>
  </sheetViews>
  <sheetFormatPr defaultRowHeight="15"/>
  <cols>
    <col min="1" max="1" width="11" bestFit="1" customWidth="1"/>
    <col min="2" max="3" width="9" bestFit="1" customWidth="1"/>
    <col min="14" max="14" width="30.42578125" bestFit="1" customWidth="1"/>
    <col min="15" max="17" width="4.5703125" bestFit="1" customWidth="1"/>
  </cols>
  <sheetData>
    <row r="2" spans="1:17">
      <c r="N2" t="s">
        <v>90</v>
      </c>
      <c r="O2" s="13">
        <v>3.0479449999999999</v>
      </c>
      <c r="P2" s="13">
        <v>4.1256539999999999</v>
      </c>
      <c r="Q2" s="12">
        <f>P2-O2</f>
        <v>1.077709</v>
      </c>
    </row>
    <row r="3" spans="1:17">
      <c r="B3">
        <v>1996</v>
      </c>
      <c r="C3">
        <v>2004</v>
      </c>
      <c r="N3" t="s">
        <v>89</v>
      </c>
      <c r="O3" s="13">
        <v>2.9377879999999998</v>
      </c>
      <c r="P3" s="13">
        <v>3.9212959999999999</v>
      </c>
      <c r="Q3" s="12">
        <f t="shared" ref="Q3:Q11" si="0">P3-O3</f>
        <v>0.98350800000000005</v>
      </c>
    </row>
    <row r="4" spans="1:17">
      <c r="A4" t="s">
        <v>23</v>
      </c>
      <c r="B4">
        <v>3.79</v>
      </c>
      <c r="C4">
        <v>3.35</v>
      </c>
      <c r="N4" s="7" t="s">
        <v>88</v>
      </c>
      <c r="O4" s="13">
        <v>3.0451130000000002</v>
      </c>
      <c r="P4" s="13">
        <v>3.848214</v>
      </c>
      <c r="Q4" s="12">
        <f t="shared" si="0"/>
        <v>0.80310099999999984</v>
      </c>
    </row>
    <row r="5" spans="1:17">
      <c r="A5" t="s">
        <v>24</v>
      </c>
      <c r="B5">
        <v>3.62</v>
      </c>
      <c r="C5">
        <v>3.61</v>
      </c>
      <c r="N5" t="s">
        <v>91</v>
      </c>
      <c r="O5" s="13">
        <v>3.567164</v>
      </c>
      <c r="P5" s="13">
        <v>4.680555</v>
      </c>
      <c r="Q5" s="12">
        <f t="shared" si="0"/>
        <v>1.113391</v>
      </c>
    </row>
    <row r="6" spans="1:17">
      <c r="A6" t="s">
        <v>25</v>
      </c>
      <c r="B6">
        <v>3.09</v>
      </c>
      <c r="C6">
        <v>3.97</v>
      </c>
      <c r="N6" t="s">
        <v>92</v>
      </c>
      <c r="O6" s="13">
        <v>2.6666669999999999</v>
      </c>
      <c r="P6" s="13">
        <v>4.8181820000000002</v>
      </c>
      <c r="Q6" s="12">
        <f t="shared" si="0"/>
        <v>2.1515150000000003</v>
      </c>
    </row>
    <row r="7" spans="1:17">
      <c r="A7" t="s">
        <v>26</v>
      </c>
      <c r="B7">
        <v>3</v>
      </c>
      <c r="C7">
        <v>4.03</v>
      </c>
      <c r="N7" t="s">
        <v>93</v>
      </c>
      <c r="O7" s="13">
        <v>3.3829790000000002</v>
      </c>
      <c r="P7" s="13">
        <v>4.3684209999999997</v>
      </c>
      <c r="Q7" s="12">
        <f t="shared" si="0"/>
        <v>0.98544199999999949</v>
      </c>
    </row>
    <row r="8" spans="1:17">
      <c r="A8" t="s">
        <v>27</v>
      </c>
      <c r="B8">
        <v>3.23</v>
      </c>
      <c r="C8">
        <v>4.28</v>
      </c>
      <c r="N8" t="s">
        <v>94</v>
      </c>
      <c r="O8" s="13">
        <v>3.822581</v>
      </c>
      <c r="P8" s="13">
        <v>4.5098039999999999</v>
      </c>
      <c r="Q8" s="12">
        <f t="shared" si="0"/>
        <v>0.68722299999999992</v>
      </c>
    </row>
    <row r="9" spans="1:17">
      <c r="A9" t="s">
        <v>28</v>
      </c>
      <c r="B9">
        <v>3.02</v>
      </c>
      <c r="C9">
        <v>4.28</v>
      </c>
      <c r="N9" t="s">
        <v>95</v>
      </c>
      <c r="O9" s="13">
        <v>3.3115939999999999</v>
      </c>
      <c r="P9" s="13">
        <v>3.6732670000000001</v>
      </c>
      <c r="Q9" s="12">
        <f t="shared" si="0"/>
        <v>0.36167300000000013</v>
      </c>
    </row>
    <row r="10" spans="1:17">
      <c r="A10" t="s">
        <v>29</v>
      </c>
      <c r="B10">
        <v>2.56</v>
      </c>
      <c r="C10">
        <v>4.07</v>
      </c>
      <c r="N10" t="s">
        <v>96</v>
      </c>
      <c r="O10" s="13">
        <v>1.8</v>
      </c>
      <c r="P10" s="13">
        <v>3</v>
      </c>
      <c r="Q10" s="12">
        <f t="shared" si="0"/>
        <v>1.2</v>
      </c>
    </row>
    <row r="11" spans="1:17">
      <c r="N11" t="s">
        <v>97</v>
      </c>
      <c r="O11" s="13">
        <v>3.5</v>
      </c>
      <c r="P11" s="13">
        <v>3.8333330000000001</v>
      </c>
      <c r="Q11" s="12">
        <f t="shared" si="0"/>
        <v>0.3333330000000001</v>
      </c>
    </row>
    <row r="27" spans="1:3">
      <c r="A27" t="s">
        <v>30</v>
      </c>
      <c r="B27">
        <v>1996</v>
      </c>
      <c r="C27">
        <v>2004</v>
      </c>
    </row>
    <row r="28" spans="1:3">
      <c r="A28" t="s">
        <v>23</v>
      </c>
      <c r="B28">
        <v>3.210995</v>
      </c>
      <c r="C28">
        <v>3.795077</v>
      </c>
    </row>
    <row r="29" spans="1:3">
      <c r="A29" t="s">
        <v>24</v>
      </c>
      <c r="B29">
        <v>3.147802</v>
      </c>
      <c r="C29">
        <v>3.9344049999999999</v>
      </c>
    </row>
    <row r="30" spans="1:3">
      <c r="A30" t="s">
        <v>25</v>
      </c>
      <c r="B30">
        <v>3.0846089999999999</v>
      </c>
      <c r="C30">
        <v>4.0737329999999998</v>
      </c>
    </row>
    <row r="31" spans="1:3">
      <c r="A31" t="s">
        <v>26</v>
      </c>
      <c r="B31">
        <v>3.0214150000000002</v>
      </c>
      <c r="C31">
        <v>4.2130599999999996</v>
      </c>
    </row>
    <row r="32" spans="1:3">
      <c r="A32" t="s">
        <v>27</v>
      </c>
      <c r="B32">
        <v>2.9582220000000001</v>
      </c>
      <c r="C32">
        <v>4.3523880000000004</v>
      </c>
    </row>
    <row r="33" spans="1:15">
      <c r="A33" t="s">
        <v>28</v>
      </c>
      <c r="B33">
        <v>2.8950290000000001</v>
      </c>
      <c r="C33">
        <v>4.4917160000000003</v>
      </c>
    </row>
    <row r="34" spans="1:15">
      <c r="A34" t="s">
        <v>29</v>
      </c>
      <c r="B34">
        <v>2.831836</v>
      </c>
      <c r="C34">
        <v>4.6310440000000002</v>
      </c>
    </row>
    <row r="38" spans="1:15">
      <c r="O38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4"/>
  <sheetViews>
    <sheetView tabSelected="1" zoomScale="70" zoomScaleNormal="70" workbookViewId="0">
      <selection activeCell="R21" sqref="R21:T32"/>
    </sheetView>
  </sheetViews>
  <sheetFormatPr defaultColWidth="11" defaultRowHeight="15"/>
  <cols>
    <col min="1" max="1" width="8.5703125" bestFit="1" customWidth="1"/>
    <col min="2" max="2" width="11.140625" bestFit="1" customWidth="1"/>
    <col min="3" max="3" width="19.5703125" bestFit="1" customWidth="1"/>
    <col min="4" max="4" width="5.42578125" bestFit="1" customWidth="1"/>
    <col min="5" max="5" width="10.5703125" style="1" bestFit="1" customWidth="1"/>
    <col min="6" max="6" width="13.140625" style="1" bestFit="1" customWidth="1"/>
    <col min="7" max="7" width="20.7109375" bestFit="1" customWidth="1"/>
    <col min="8" max="8" width="12.5703125" bestFit="1" customWidth="1"/>
    <col min="10" max="10" width="37.7109375" bestFit="1" customWidth="1"/>
    <col min="11" max="11" width="5.42578125" bestFit="1" customWidth="1"/>
    <col min="14" max="14" width="27.5703125" bestFit="1" customWidth="1"/>
    <col min="15" max="16" width="10.28515625" bestFit="1" customWidth="1"/>
    <col min="17" max="17" width="13.5703125" bestFit="1" customWidth="1"/>
    <col min="18" max="18" width="22.85546875" bestFit="1" customWidth="1"/>
    <col min="19" max="19" width="10.28515625" bestFit="1" customWidth="1"/>
    <col min="20" max="20" width="11.28515625" bestFit="1" customWidth="1"/>
  </cols>
  <sheetData>
    <row r="1" spans="1:22">
      <c r="B1" t="s">
        <v>32</v>
      </c>
      <c r="E1" s="1" t="s">
        <v>37</v>
      </c>
      <c r="F1" s="1" t="s">
        <v>38</v>
      </c>
      <c r="G1" t="s">
        <v>39</v>
      </c>
      <c r="H1" t="s">
        <v>40</v>
      </c>
      <c r="M1" s="5"/>
      <c r="N1" s="5"/>
      <c r="O1" s="4" t="s">
        <v>49</v>
      </c>
      <c r="P1" s="4" t="s">
        <v>50</v>
      </c>
      <c r="Q1" s="5"/>
      <c r="R1" s="5"/>
      <c r="V1" s="5"/>
    </row>
    <row r="2" spans="1:22">
      <c r="A2">
        <v>1996</v>
      </c>
      <c r="B2">
        <v>3.1229979999999999</v>
      </c>
      <c r="E2" s="1">
        <f>B9*8</f>
        <v>1.3440072000000001</v>
      </c>
      <c r="F2" s="1">
        <f>C7*B10</f>
        <v>-0.45260864459999434</v>
      </c>
      <c r="G2">
        <f>E2+F2</f>
        <v>0.89139855540000568</v>
      </c>
      <c r="H2">
        <f>G2/C3</f>
        <v>0.9482953267071057</v>
      </c>
      <c r="J2" t="s">
        <v>44</v>
      </c>
      <c r="K2" s="2">
        <v>0.94000099999999964</v>
      </c>
      <c r="M2" s="5"/>
      <c r="O2" s="1"/>
      <c r="P2" s="1"/>
      <c r="Q2" s="5"/>
      <c r="R2" s="5"/>
      <c r="V2" s="5"/>
    </row>
    <row r="3" spans="1:22">
      <c r="A3">
        <v>2004</v>
      </c>
      <c r="B3">
        <v>4.0629989999999996</v>
      </c>
      <c r="C3">
        <f>B3-B2</f>
        <v>0.94000099999999964</v>
      </c>
      <c r="J3" t="s">
        <v>41</v>
      </c>
      <c r="K3" s="2">
        <v>1.3440072000000001</v>
      </c>
      <c r="M3" s="5"/>
      <c r="N3" s="5" t="s">
        <v>30</v>
      </c>
      <c r="O3" s="4" t="s">
        <v>54</v>
      </c>
      <c r="P3" s="4" t="s">
        <v>55</v>
      </c>
      <c r="Q3" s="5"/>
      <c r="R3" s="5"/>
      <c r="S3" s="5"/>
      <c r="T3" s="5"/>
      <c r="U3" s="5"/>
      <c r="V3" s="5"/>
    </row>
    <row r="4" spans="1:22">
      <c r="J4" t="s">
        <v>42</v>
      </c>
      <c r="K4" s="2">
        <v>-0.45260864459999434</v>
      </c>
      <c r="M4" s="5"/>
      <c r="N4" s="5"/>
      <c r="O4" s="4" t="s">
        <v>56</v>
      </c>
      <c r="P4" s="4" t="s">
        <v>57</v>
      </c>
      <c r="Q4" s="5"/>
      <c r="R4" s="5" t="s">
        <v>30</v>
      </c>
      <c r="S4" s="4" t="s">
        <v>67</v>
      </c>
      <c r="T4" s="4" t="s">
        <v>68</v>
      </c>
      <c r="U4" s="5"/>
    </row>
    <row r="5" spans="1:22">
      <c r="B5" t="s">
        <v>33</v>
      </c>
      <c r="J5" t="s">
        <v>43</v>
      </c>
      <c r="K5" s="2">
        <v>0.9482953267071057</v>
      </c>
      <c r="M5" s="5"/>
      <c r="N5" s="5"/>
      <c r="O5" s="4"/>
      <c r="P5" s="4"/>
      <c r="Q5" s="5"/>
      <c r="R5" s="5"/>
      <c r="S5" s="4" t="s">
        <v>69</v>
      </c>
      <c r="T5" s="4" t="s">
        <v>70</v>
      </c>
      <c r="U5" s="5"/>
    </row>
    <row r="6" spans="1:22">
      <c r="A6">
        <v>1996</v>
      </c>
      <c r="B6">
        <v>1952.5260000000001</v>
      </c>
      <c r="G6" t="s">
        <v>153</v>
      </c>
      <c r="M6" s="5"/>
      <c r="N6" s="5" t="s">
        <v>33</v>
      </c>
      <c r="O6" s="4" t="s">
        <v>58</v>
      </c>
      <c r="P6" s="4" t="s">
        <v>59</v>
      </c>
      <c r="Q6" s="5"/>
      <c r="R6" s="5"/>
      <c r="S6" s="4"/>
      <c r="T6" s="4"/>
      <c r="U6" s="5"/>
    </row>
    <row r="7" spans="1:22">
      <c r="A7">
        <v>2004</v>
      </c>
      <c r="B7">
        <v>1962.1079999999999</v>
      </c>
      <c r="C7">
        <f>B7-B6</f>
        <v>9.5819999999998799</v>
      </c>
      <c r="F7" s="1">
        <v>1996</v>
      </c>
      <c r="G7">
        <v>3.15</v>
      </c>
      <c r="M7" s="5"/>
      <c r="N7" s="5"/>
      <c r="O7" s="4" t="s">
        <v>60</v>
      </c>
      <c r="P7" s="4" t="s">
        <v>61</v>
      </c>
      <c r="Q7" s="5"/>
      <c r="R7" s="5" t="s">
        <v>52</v>
      </c>
      <c r="S7" s="4" t="s">
        <v>71</v>
      </c>
      <c r="T7" s="4" t="s">
        <v>72</v>
      </c>
      <c r="U7" s="5"/>
    </row>
    <row r="8" spans="1:22">
      <c r="F8" s="1">
        <v>2004</v>
      </c>
      <c r="G8">
        <v>4.04</v>
      </c>
      <c r="M8" s="5"/>
      <c r="N8" s="5"/>
      <c r="O8" s="4"/>
      <c r="P8" s="4"/>
      <c r="Q8" s="5"/>
      <c r="R8" s="5"/>
      <c r="S8" s="4" t="s">
        <v>73</v>
      </c>
      <c r="T8" s="4" t="s">
        <v>74</v>
      </c>
      <c r="U8" s="5"/>
    </row>
    <row r="9" spans="1:22">
      <c r="A9" t="s">
        <v>36</v>
      </c>
      <c r="B9">
        <v>0.16800090000000001</v>
      </c>
      <c r="M9" s="5"/>
      <c r="N9" s="5" t="s">
        <v>46</v>
      </c>
      <c r="O9" s="4" t="s">
        <v>62</v>
      </c>
      <c r="P9" s="4" t="s">
        <v>63</v>
      </c>
      <c r="Q9" s="5"/>
      <c r="R9" s="5"/>
      <c r="S9" s="4"/>
      <c r="T9" s="4"/>
      <c r="U9" s="5"/>
    </row>
    <row r="10" spans="1:22">
      <c r="A10" t="s">
        <v>34</v>
      </c>
      <c r="B10">
        <v>-4.7235300000000001E-2</v>
      </c>
      <c r="M10" s="5"/>
      <c r="N10" s="5"/>
      <c r="O10" s="4" t="s">
        <v>64</v>
      </c>
      <c r="P10" s="4" t="s">
        <v>65</v>
      </c>
      <c r="Q10" s="5"/>
      <c r="R10" s="5" t="s">
        <v>53</v>
      </c>
      <c r="S10" s="4" t="s">
        <v>75</v>
      </c>
      <c r="T10" s="4" t="s">
        <v>76</v>
      </c>
      <c r="U10" s="5"/>
    </row>
    <row r="11" spans="1:22">
      <c r="A11" t="s">
        <v>35</v>
      </c>
      <c r="B11">
        <v>95.361490000000003</v>
      </c>
      <c r="M11" s="5"/>
      <c r="N11" s="5"/>
      <c r="O11" s="4"/>
      <c r="P11" s="4"/>
      <c r="Q11" s="5"/>
      <c r="R11" s="5"/>
      <c r="S11" s="4" t="s">
        <v>83</v>
      </c>
      <c r="T11" s="4" t="s">
        <v>84</v>
      </c>
      <c r="U11" s="5"/>
    </row>
    <row r="12" spans="1:22">
      <c r="M12" s="5"/>
      <c r="N12" s="5" t="s">
        <v>45</v>
      </c>
      <c r="O12" s="4" t="s">
        <v>47</v>
      </c>
      <c r="P12" s="4" t="s">
        <v>48</v>
      </c>
      <c r="Q12" s="5"/>
      <c r="R12" s="5"/>
      <c r="S12" s="4"/>
      <c r="T12" s="4"/>
      <c r="U12" s="5"/>
    </row>
    <row r="13" spans="1:22">
      <c r="M13" s="5"/>
      <c r="N13" s="5"/>
      <c r="O13" s="5"/>
      <c r="P13" s="5"/>
      <c r="Q13" s="5"/>
      <c r="R13" s="5" t="s">
        <v>33</v>
      </c>
      <c r="S13" s="4" t="s">
        <v>77</v>
      </c>
      <c r="T13" s="4" t="s">
        <v>78</v>
      </c>
      <c r="U13" s="5"/>
    </row>
    <row r="14" spans="1:22">
      <c r="F14" s="4"/>
      <c r="G14" s="5"/>
      <c r="M14" s="5"/>
      <c r="O14" s="4" t="s">
        <v>49</v>
      </c>
      <c r="P14" s="4" t="s">
        <v>50</v>
      </c>
      <c r="Q14" s="5"/>
      <c r="R14" s="5"/>
      <c r="S14" s="4" t="s">
        <v>79</v>
      </c>
      <c r="T14" s="4" t="s">
        <v>80</v>
      </c>
      <c r="U14" s="5"/>
    </row>
    <row r="15" spans="1:22">
      <c r="F15" s="4"/>
      <c r="G15" s="5"/>
      <c r="M15" s="5"/>
      <c r="O15" s="1"/>
      <c r="P15" s="1"/>
      <c r="Q15" s="5"/>
      <c r="R15" s="5"/>
      <c r="S15" s="4"/>
      <c r="T15" s="4"/>
      <c r="U15" s="5"/>
    </row>
    <row r="16" spans="1:22">
      <c r="F16" s="4"/>
      <c r="G16" s="5"/>
      <c r="M16" s="5"/>
      <c r="N16" s="5" t="s">
        <v>168</v>
      </c>
      <c r="O16" s="4" t="s">
        <v>154</v>
      </c>
      <c r="P16" s="4" t="s">
        <v>155</v>
      </c>
      <c r="Q16" s="5"/>
      <c r="R16" s="5" t="s">
        <v>46</v>
      </c>
      <c r="S16" s="4" t="s">
        <v>81</v>
      </c>
      <c r="T16" s="4" t="s">
        <v>82</v>
      </c>
      <c r="U16" s="5"/>
    </row>
    <row r="17" spans="2:22">
      <c r="F17" s="4"/>
      <c r="G17" s="5"/>
      <c r="M17" s="5"/>
      <c r="N17" s="5"/>
      <c r="O17" s="4" t="s">
        <v>156</v>
      </c>
      <c r="P17" s="4" t="s">
        <v>157</v>
      </c>
      <c r="Q17" s="5"/>
      <c r="R17" s="5"/>
      <c r="S17" s="4" t="s">
        <v>85</v>
      </c>
      <c r="T17" s="4" t="s">
        <v>86</v>
      </c>
      <c r="U17" s="5"/>
    </row>
    <row r="18" spans="2:22">
      <c r="F18" s="4"/>
      <c r="G18" s="5"/>
      <c r="M18" s="5"/>
      <c r="N18" s="5"/>
      <c r="O18" s="4"/>
      <c r="P18" s="4"/>
      <c r="Q18" s="5"/>
      <c r="R18" s="5"/>
      <c r="S18" s="4"/>
      <c r="T18" s="4"/>
      <c r="U18" s="5"/>
    </row>
    <row r="19" spans="2:22">
      <c r="B19" s="2">
        <v>1</v>
      </c>
      <c r="C19" s="2" t="s">
        <v>98</v>
      </c>
      <c r="D19" s="2">
        <v>0.22</v>
      </c>
      <c r="E19" s="14">
        <v>1.42</v>
      </c>
      <c r="F19" s="3">
        <v>0.82</v>
      </c>
      <c r="M19" s="5"/>
      <c r="N19" s="5" t="s">
        <v>33</v>
      </c>
      <c r="O19" s="4" t="s">
        <v>158</v>
      </c>
      <c r="P19" s="4" t="s">
        <v>159</v>
      </c>
      <c r="Q19" s="5"/>
      <c r="R19" s="5" t="s">
        <v>45</v>
      </c>
      <c r="S19" s="4" t="s">
        <v>51</v>
      </c>
      <c r="T19" s="4" t="s">
        <v>87</v>
      </c>
      <c r="U19" s="5"/>
    </row>
    <row r="20" spans="2:22">
      <c r="B20" s="2">
        <v>2</v>
      </c>
      <c r="C20" s="2" t="s">
        <v>99</v>
      </c>
      <c r="D20" s="2">
        <v>-0.22</v>
      </c>
      <c r="E20" s="14">
        <v>0.84</v>
      </c>
      <c r="F20" s="3">
        <v>0.31</v>
      </c>
      <c r="M20" s="5"/>
      <c r="N20" s="5"/>
      <c r="O20" s="4" t="s">
        <v>160</v>
      </c>
      <c r="P20" s="4" t="s">
        <v>161</v>
      </c>
      <c r="Q20" s="5"/>
      <c r="R20" s="5"/>
      <c r="S20" s="5"/>
      <c r="T20" s="5"/>
      <c r="U20" s="5"/>
      <c r="V20" s="5"/>
    </row>
    <row r="21" spans="2:22">
      <c r="B21" s="2">
        <v>3</v>
      </c>
      <c r="C21" s="2" t="s">
        <v>100</v>
      </c>
      <c r="D21" s="2">
        <v>0.18</v>
      </c>
      <c r="E21" s="14">
        <v>1.63</v>
      </c>
      <c r="F21" s="3">
        <v>0.9</v>
      </c>
      <c r="M21" s="5"/>
      <c r="N21" s="5"/>
      <c r="O21" s="4"/>
      <c r="P21" s="4"/>
      <c r="Q21" s="5"/>
      <c r="R21" s="5"/>
      <c r="S21" s="4" t="s">
        <v>49</v>
      </c>
      <c r="T21" s="4" t="s">
        <v>50</v>
      </c>
      <c r="U21" s="5"/>
      <c r="V21" s="5"/>
    </row>
    <row r="22" spans="2:22">
      <c r="B22" s="2">
        <v>4</v>
      </c>
      <c r="C22" s="2" t="s">
        <v>101</v>
      </c>
      <c r="D22" s="2">
        <v>-0.76</v>
      </c>
      <c r="E22" s="14">
        <v>0.97</v>
      </c>
      <c r="F22" s="3">
        <v>0.1</v>
      </c>
      <c r="M22" s="5"/>
      <c r="N22" s="5" t="s">
        <v>46</v>
      </c>
      <c r="O22" s="4" t="s">
        <v>162</v>
      </c>
      <c r="P22" s="4" t="s">
        <v>163</v>
      </c>
      <c r="Q22" s="5"/>
      <c r="R22" s="5"/>
      <c r="S22" s="1"/>
      <c r="T22" s="1"/>
      <c r="U22" s="5"/>
      <c r="V22" s="5"/>
    </row>
    <row r="23" spans="2:22">
      <c r="B23" s="2">
        <v>5</v>
      </c>
      <c r="C23" s="2" t="s">
        <v>102</v>
      </c>
      <c r="D23" s="2">
        <v>-0.47</v>
      </c>
      <c r="E23" s="14">
        <v>0.6</v>
      </c>
      <c r="F23" s="3">
        <v>0.06</v>
      </c>
      <c r="M23" s="5"/>
      <c r="N23" s="5"/>
      <c r="O23" s="4" t="s">
        <v>164</v>
      </c>
      <c r="P23" s="4" t="s">
        <v>165</v>
      </c>
      <c r="Q23" s="5"/>
      <c r="R23" s="5" t="s">
        <v>182</v>
      </c>
      <c r="S23" s="4" t="s">
        <v>169</v>
      </c>
      <c r="T23" s="4" t="s">
        <v>170</v>
      </c>
      <c r="U23" s="5"/>
      <c r="V23" s="5"/>
    </row>
    <row r="24" spans="2:22">
      <c r="B24" s="2">
        <v>6</v>
      </c>
      <c r="C24" s="2" t="s">
        <v>103</v>
      </c>
      <c r="D24" s="2">
        <v>0.31</v>
      </c>
      <c r="E24" s="3">
        <v>1.24</v>
      </c>
      <c r="F24" s="3">
        <v>0.77</v>
      </c>
      <c r="M24" s="5"/>
      <c r="N24" s="5"/>
      <c r="O24" s="4"/>
      <c r="P24" s="4"/>
      <c r="Q24" s="5"/>
      <c r="R24" s="5"/>
      <c r="S24" s="4" t="s">
        <v>171</v>
      </c>
      <c r="T24" s="4" t="s">
        <v>172</v>
      </c>
      <c r="U24" s="5"/>
      <c r="V24" s="5"/>
    </row>
    <row r="25" spans="2:22">
      <c r="B25" s="2">
        <v>7</v>
      </c>
      <c r="C25" s="2" t="s">
        <v>104</v>
      </c>
      <c r="D25" s="2">
        <v>-0.28999999999999998</v>
      </c>
      <c r="E25" s="3">
        <v>0.82</v>
      </c>
      <c r="F25" s="3">
        <v>0.27</v>
      </c>
      <c r="M25" s="5"/>
      <c r="N25" s="5" t="s">
        <v>45</v>
      </c>
      <c r="O25" s="4" t="s">
        <v>166</v>
      </c>
      <c r="P25" s="4" t="s">
        <v>167</v>
      </c>
      <c r="Q25" s="5"/>
      <c r="R25" s="5"/>
      <c r="S25" s="4"/>
      <c r="T25" s="4"/>
      <c r="U25" s="5"/>
    </row>
    <row r="26" spans="2:22">
      <c r="B26" s="2">
        <v>8</v>
      </c>
      <c r="C26" s="2" t="s">
        <v>105</v>
      </c>
      <c r="D26" s="2">
        <v>-0.44</v>
      </c>
      <c r="E26" s="3">
        <v>0.47</v>
      </c>
      <c r="F26" s="3">
        <v>0.01</v>
      </c>
      <c r="M26" s="5"/>
      <c r="Q26" s="5"/>
      <c r="R26" s="5" t="s">
        <v>33</v>
      </c>
      <c r="S26" s="4" t="s">
        <v>173</v>
      </c>
      <c r="T26" s="4" t="s">
        <v>174</v>
      </c>
      <c r="U26" s="5"/>
    </row>
    <row r="27" spans="2:22">
      <c r="B27" s="2">
        <v>9</v>
      </c>
      <c r="C27" s="2" t="s">
        <v>106</v>
      </c>
      <c r="D27" s="2">
        <v>-0.61</v>
      </c>
      <c r="E27" s="3">
        <v>0.37</v>
      </c>
      <c r="F27" s="3">
        <v>-0.12</v>
      </c>
      <c r="M27" s="5"/>
      <c r="N27" s="5" t="s">
        <v>30</v>
      </c>
      <c r="O27" s="4" t="s">
        <v>113</v>
      </c>
      <c r="P27" s="4" t="s">
        <v>114</v>
      </c>
      <c r="Q27" s="5"/>
      <c r="R27" s="5"/>
      <c r="S27" s="4" t="s">
        <v>175</v>
      </c>
      <c r="T27" s="4" t="s">
        <v>176</v>
      </c>
      <c r="U27" s="5"/>
    </row>
    <row r="28" spans="2:22">
      <c r="B28" s="2">
        <v>10</v>
      </c>
      <c r="C28" s="2" t="s">
        <v>107</v>
      </c>
      <c r="D28" s="2">
        <v>-0.16</v>
      </c>
      <c r="E28" s="3">
        <v>1.39</v>
      </c>
      <c r="F28" s="3">
        <v>0.62</v>
      </c>
      <c r="M28" s="5"/>
      <c r="N28" s="5"/>
      <c r="O28" s="4" t="s">
        <v>115</v>
      </c>
      <c r="P28" s="4" t="s">
        <v>116</v>
      </c>
      <c r="Q28" s="5"/>
      <c r="R28" s="5"/>
      <c r="S28" s="4"/>
      <c r="T28" s="4"/>
      <c r="U28" s="5"/>
    </row>
    <row r="29" spans="2:22">
      <c r="B29" s="2">
        <v>11</v>
      </c>
      <c r="C29" s="2" t="s">
        <v>108</v>
      </c>
      <c r="D29" s="2">
        <v>-0.08</v>
      </c>
      <c r="E29" s="3">
        <v>2.19</v>
      </c>
      <c r="F29" s="3">
        <v>1.06</v>
      </c>
      <c r="M29" s="5"/>
      <c r="N29" s="5"/>
      <c r="O29" s="4"/>
      <c r="P29" s="4"/>
      <c r="Q29" s="5"/>
      <c r="R29" s="5" t="s">
        <v>46</v>
      </c>
      <c r="S29" s="4" t="s">
        <v>177</v>
      </c>
      <c r="T29" s="4" t="s">
        <v>178</v>
      </c>
      <c r="U29" s="5"/>
    </row>
    <row r="30" spans="2:22">
      <c r="B30" s="2">
        <v>12</v>
      </c>
      <c r="C30" s="2" t="s">
        <v>109</v>
      </c>
      <c r="D30" s="2">
        <v>-0.34</v>
      </c>
      <c r="E30" s="3">
        <v>1.45</v>
      </c>
      <c r="F30" s="3">
        <v>0.56000000000000005</v>
      </c>
      <c r="M30" s="5"/>
      <c r="N30" s="5" t="s">
        <v>33</v>
      </c>
      <c r="O30" s="4" t="s">
        <v>145</v>
      </c>
      <c r="P30" s="4" t="s">
        <v>146</v>
      </c>
      <c r="Q30" s="5"/>
      <c r="R30" s="5"/>
      <c r="S30" s="4" t="s">
        <v>179</v>
      </c>
      <c r="T30" s="4" t="s">
        <v>180</v>
      </c>
      <c r="U30" s="5"/>
    </row>
    <row r="31" spans="2:22">
      <c r="B31" s="2">
        <v>13</v>
      </c>
      <c r="C31" s="2" t="s">
        <v>110</v>
      </c>
      <c r="D31" s="2">
        <v>-0.68</v>
      </c>
      <c r="E31" s="3">
        <v>0.47</v>
      </c>
      <c r="F31" s="3">
        <v>-0.11</v>
      </c>
      <c r="M31" s="5"/>
      <c r="N31" s="5"/>
      <c r="O31" s="4" t="s">
        <v>147</v>
      </c>
      <c r="P31" s="4" t="s">
        <v>148</v>
      </c>
      <c r="Q31" s="5"/>
      <c r="R31" s="5"/>
      <c r="S31" s="4"/>
      <c r="T31" s="4"/>
      <c r="U31" s="5"/>
    </row>
    <row r="32" spans="2:22">
      <c r="B32" s="2">
        <v>14</v>
      </c>
      <c r="C32" s="2" t="s">
        <v>111</v>
      </c>
      <c r="D32" s="2">
        <v>0.08</v>
      </c>
      <c r="E32" s="3">
        <v>1.02</v>
      </c>
      <c r="F32" s="3">
        <v>0.55000000000000004</v>
      </c>
      <c r="M32" s="5"/>
      <c r="N32" s="5"/>
      <c r="O32" s="4"/>
      <c r="P32" s="4"/>
      <c r="Q32" s="5"/>
      <c r="R32" s="5" t="s">
        <v>45</v>
      </c>
      <c r="S32" s="4" t="s">
        <v>181</v>
      </c>
      <c r="T32" s="4" t="s">
        <v>138</v>
      </c>
      <c r="U32" s="5"/>
    </row>
    <row r="33" spans="2:21">
      <c r="B33" s="2">
        <v>15</v>
      </c>
      <c r="C33" s="2" t="s">
        <v>112</v>
      </c>
      <c r="D33" s="2">
        <v>-0.04</v>
      </c>
      <c r="E33" s="3">
        <v>0.71</v>
      </c>
      <c r="F33" s="3">
        <v>0.33</v>
      </c>
      <c r="M33" s="5"/>
      <c r="N33" s="5" t="s">
        <v>139</v>
      </c>
      <c r="O33" s="4" t="s">
        <v>117</v>
      </c>
      <c r="P33" s="4" t="s">
        <v>118</v>
      </c>
      <c r="Q33" s="5"/>
      <c r="R33" s="5"/>
      <c r="S33" s="5"/>
      <c r="T33" s="5"/>
      <c r="U33" s="5"/>
    </row>
    <row r="34" spans="2:21">
      <c r="M34" s="5"/>
      <c r="N34" s="5"/>
      <c r="O34" s="4" t="s">
        <v>119</v>
      </c>
      <c r="P34" s="4" t="s">
        <v>120</v>
      </c>
      <c r="Q34" s="5"/>
      <c r="R34" s="5"/>
      <c r="S34" s="5"/>
      <c r="T34" s="5"/>
      <c r="U34" s="5"/>
    </row>
    <row r="35" spans="2:21">
      <c r="M35" s="5"/>
      <c r="N35" s="5"/>
      <c r="O35" s="4"/>
      <c r="P35" s="4"/>
      <c r="Q35" s="5"/>
      <c r="R35" s="5"/>
      <c r="S35" s="5"/>
      <c r="T35" s="5"/>
      <c r="U35" s="5"/>
    </row>
    <row r="36" spans="2:21">
      <c r="M36" s="5"/>
      <c r="N36" s="5" t="s">
        <v>140</v>
      </c>
      <c r="O36" s="4" t="s">
        <v>121</v>
      </c>
      <c r="P36" s="4" t="s">
        <v>122</v>
      </c>
      <c r="Q36" s="5"/>
      <c r="R36" s="5"/>
      <c r="S36" s="5"/>
      <c r="T36" s="5"/>
      <c r="U36" s="5"/>
    </row>
    <row r="37" spans="2:21">
      <c r="M37" s="5"/>
      <c r="N37" s="5"/>
      <c r="O37" s="4" t="s">
        <v>123</v>
      </c>
      <c r="P37" s="4" t="s">
        <v>124</v>
      </c>
      <c r="Q37" s="5"/>
      <c r="R37" s="5"/>
      <c r="S37" s="5"/>
      <c r="T37" s="5"/>
      <c r="U37" s="5"/>
    </row>
    <row r="38" spans="2:21">
      <c r="M38" s="5"/>
      <c r="N38" s="5"/>
      <c r="O38" s="4"/>
      <c r="P38" s="4"/>
      <c r="Q38" s="5"/>
      <c r="R38" s="5"/>
      <c r="S38" s="5"/>
      <c r="T38" s="5"/>
      <c r="U38" s="5"/>
    </row>
    <row r="39" spans="2:21">
      <c r="M39" s="5"/>
      <c r="N39" s="5" t="s">
        <v>141</v>
      </c>
      <c r="O39" s="4" t="s">
        <v>125</v>
      </c>
      <c r="P39" s="4" t="s">
        <v>126</v>
      </c>
      <c r="Q39" s="5"/>
      <c r="R39" s="5"/>
      <c r="S39" s="5"/>
      <c r="T39" s="5"/>
      <c r="U39" s="5"/>
    </row>
    <row r="40" spans="2:21">
      <c r="M40" s="5"/>
      <c r="N40" s="5"/>
      <c r="O40" s="4" t="s">
        <v>127</v>
      </c>
      <c r="P40" s="4" t="s">
        <v>128</v>
      </c>
      <c r="Q40" s="5"/>
      <c r="R40" s="5"/>
      <c r="S40" s="5"/>
      <c r="T40" s="5"/>
      <c r="U40" s="5"/>
    </row>
    <row r="41" spans="2:21">
      <c r="M41" s="5"/>
      <c r="N41" s="5"/>
      <c r="O41" s="4"/>
      <c r="P41" s="4"/>
      <c r="Q41" s="5"/>
      <c r="R41" s="5"/>
      <c r="S41" s="5"/>
      <c r="T41" s="5"/>
      <c r="U41" s="5"/>
    </row>
    <row r="42" spans="2:21">
      <c r="M42" s="5"/>
      <c r="N42" s="5" t="s">
        <v>142</v>
      </c>
      <c r="O42" s="4" t="s">
        <v>129</v>
      </c>
      <c r="P42" s="4" t="s">
        <v>130</v>
      </c>
      <c r="Q42" s="5"/>
      <c r="R42" s="5"/>
      <c r="S42" s="5"/>
      <c r="T42" s="5"/>
      <c r="U42" s="5"/>
    </row>
    <row r="43" spans="2:21">
      <c r="M43" s="5"/>
      <c r="N43" s="5"/>
      <c r="O43" s="4" t="s">
        <v>131</v>
      </c>
      <c r="P43" s="4" t="s">
        <v>132</v>
      </c>
      <c r="Q43" s="5"/>
      <c r="R43" s="5"/>
      <c r="S43" s="5"/>
      <c r="T43" s="5"/>
      <c r="U43" s="5"/>
    </row>
    <row r="44" spans="2:21">
      <c r="M44" s="5"/>
      <c r="N44" s="5"/>
      <c r="O44" s="4"/>
      <c r="P44" s="4"/>
      <c r="Q44" s="5"/>
      <c r="R44" s="5"/>
      <c r="S44" s="5"/>
      <c r="T44" s="5"/>
      <c r="U44" s="5"/>
    </row>
    <row r="45" spans="2:21">
      <c r="M45" s="5"/>
      <c r="N45" s="5" t="s">
        <v>143</v>
      </c>
      <c r="O45" s="4"/>
      <c r="P45" s="4" t="s">
        <v>133</v>
      </c>
      <c r="Q45" s="5"/>
      <c r="R45" s="5"/>
      <c r="S45" s="5"/>
      <c r="T45" s="5"/>
      <c r="U45" s="5"/>
    </row>
    <row r="46" spans="2:21">
      <c r="M46" s="5"/>
      <c r="N46" s="5"/>
      <c r="O46" s="4"/>
      <c r="P46" s="4" t="s">
        <v>134</v>
      </c>
      <c r="Q46" s="5"/>
      <c r="R46" s="5"/>
      <c r="S46" s="5"/>
      <c r="T46" s="5"/>
      <c r="U46" s="5"/>
    </row>
    <row r="47" spans="2:21">
      <c r="M47" s="5"/>
      <c r="N47" s="5"/>
      <c r="O47" s="4"/>
      <c r="P47" s="4"/>
      <c r="Q47" s="5"/>
      <c r="R47" s="5"/>
      <c r="S47" s="5"/>
      <c r="T47" s="5"/>
      <c r="U47" s="5"/>
    </row>
    <row r="48" spans="2:21">
      <c r="M48" s="5"/>
      <c r="N48" s="5" t="s">
        <v>144</v>
      </c>
      <c r="O48" s="4"/>
      <c r="P48" s="4" t="s">
        <v>135</v>
      </c>
      <c r="Q48" s="5"/>
      <c r="R48" s="5"/>
      <c r="S48" s="5"/>
      <c r="T48" s="5"/>
      <c r="U48" s="5"/>
    </row>
    <row r="49" spans="13:22">
      <c r="M49" s="5"/>
      <c r="N49" s="5"/>
      <c r="O49" s="4"/>
      <c r="P49" s="4" t="s">
        <v>136</v>
      </c>
      <c r="Q49" s="5"/>
      <c r="R49" s="5"/>
      <c r="S49" s="5"/>
      <c r="T49" s="5"/>
      <c r="U49" s="5"/>
    </row>
    <row r="50" spans="13:22">
      <c r="M50" s="5"/>
      <c r="N50" s="5"/>
      <c r="O50" s="4"/>
      <c r="P50" s="4"/>
      <c r="Q50" s="5"/>
      <c r="R50" s="5"/>
      <c r="S50" s="5"/>
      <c r="T50" s="5"/>
      <c r="U50" s="5"/>
    </row>
    <row r="51" spans="13:22">
      <c r="M51" s="5"/>
      <c r="N51" s="5" t="s">
        <v>46</v>
      </c>
      <c r="O51" s="4" t="s">
        <v>149</v>
      </c>
      <c r="P51" s="4" t="s">
        <v>150</v>
      </c>
      <c r="Q51" s="5"/>
      <c r="R51" s="5"/>
      <c r="S51" s="5"/>
      <c r="T51" s="5"/>
      <c r="U51" s="5"/>
    </row>
    <row r="52" spans="13:22">
      <c r="M52" s="5"/>
      <c r="N52" s="5"/>
      <c r="O52" s="4" t="s">
        <v>151</v>
      </c>
      <c r="P52" s="4" t="s">
        <v>152</v>
      </c>
      <c r="R52" s="5"/>
      <c r="S52" s="5"/>
      <c r="T52" s="5"/>
      <c r="U52" s="5"/>
      <c r="V52" s="5"/>
    </row>
    <row r="53" spans="13:22">
      <c r="M53" s="5"/>
      <c r="N53" s="5"/>
      <c r="O53" s="4"/>
      <c r="P53" s="4"/>
      <c r="R53" s="5"/>
      <c r="S53" s="5"/>
      <c r="T53" s="5"/>
      <c r="U53" s="5"/>
      <c r="V53" s="5"/>
    </row>
    <row r="54" spans="13:22">
      <c r="M54" s="5"/>
      <c r="N54" s="5" t="s">
        <v>45</v>
      </c>
      <c r="O54" s="4" t="s">
        <v>137</v>
      </c>
      <c r="P54" s="4" t="s">
        <v>138</v>
      </c>
      <c r="Q54" s="5"/>
      <c r="R54" s="5"/>
      <c r="S54" s="5"/>
      <c r="T54" s="5"/>
      <c r="U54" s="5"/>
      <c r="V5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Private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Lizardo</dc:creator>
  <cp:lastModifiedBy>Omar Lizardo</cp:lastModifiedBy>
  <dcterms:created xsi:type="dcterms:W3CDTF">2007-10-22T23:01:01Z</dcterms:created>
  <dcterms:modified xsi:type="dcterms:W3CDTF">2007-10-23T22:27:33Z</dcterms:modified>
</cp:coreProperties>
</file>